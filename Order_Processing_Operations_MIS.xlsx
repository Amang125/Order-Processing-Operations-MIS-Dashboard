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92110c8f9dd2ad/Documents/"/>
    </mc:Choice>
  </mc:AlternateContent>
  <xr:revisionPtr revIDLastSave="492" documentId="8_{58C76B48-C85D-4FDF-A2E7-DDBE4EECA1FF}" xr6:coauthVersionLast="47" xr6:coauthVersionMax="47" xr10:uidLastSave="{ADC06100-09CF-42D9-AA02-D027CD1C2105}"/>
  <bookViews>
    <workbookView xWindow="-108" yWindow="-108" windowWidth="23256" windowHeight="12456" activeTab="3" xr2:uid="{8D768890-4AEB-4A46-9EE6-D2E890036BA0}"/>
  </bookViews>
  <sheets>
    <sheet name="Orders_Data" sheetId="1" r:id="rId1"/>
    <sheet name="Customer_Master" sheetId="2" r:id="rId2"/>
    <sheet name="Product_Master" sheetId="3" r:id="rId3"/>
    <sheet name="MIS_Report" sheetId="4" r:id="rId4"/>
    <sheet name="Dashboard" sheetId="5" r:id="rId5"/>
  </sheets>
  <definedNames>
    <definedName name="_xlchart.v1.0" hidden="1">Dashboard!$G$53:$G$56</definedName>
    <definedName name="_xlchart.v1.1" hidden="1">Dashboard!$H$52</definedName>
    <definedName name="_xlchart.v1.10" hidden="1">Dashboard!$B$52</definedName>
    <definedName name="_xlchart.v1.11" hidden="1">Dashboard!$B$53:$B$56</definedName>
    <definedName name="_xlchart.v1.12" hidden="1">Dashboard!$G$53:$G$56</definedName>
    <definedName name="_xlchart.v1.13" hidden="1">Dashboard!$H$52</definedName>
    <definedName name="_xlchart.v1.14" hidden="1">Dashboard!$H$53:$H$56</definedName>
    <definedName name="_xlchart.v1.2" hidden="1">Dashboard!$H$53:$H$56</definedName>
    <definedName name="_xlchart.v1.3" hidden="1">Dashboard!$G$53:$G$56</definedName>
    <definedName name="_xlchart.v1.4" hidden="1">Dashboard!$H$52</definedName>
    <definedName name="_xlchart.v1.5" hidden="1">Dashboard!$H$53:$H$56</definedName>
    <definedName name="_xlchart.v1.6" hidden="1">Dashboard!$J$53:$J$55</definedName>
    <definedName name="_xlchart.v1.7" hidden="1">Dashboard!$K$52</definedName>
    <definedName name="_xlchart.v1.8" hidden="1">Dashboard!$K$53:$K$55</definedName>
    <definedName name="_xlchart.v1.9" hidden="1">Dashboard!$A$53:$A$56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5" l="1"/>
  <c r="H54" i="5"/>
  <c r="H55" i="5"/>
  <c r="H56" i="5"/>
  <c r="H53" i="5"/>
  <c r="K53" i="5"/>
  <c r="K11" i="4"/>
  <c r="K55" i="5" s="1"/>
  <c r="K10" i="4"/>
  <c r="K54" i="5" s="1"/>
  <c r="K9" i="4"/>
  <c r="B4" i="4"/>
  <c r="B54" i="5"/>
  <c r="B55" i="5"/>
  <c r="B56" i="5"/>
  <c r="B53" i="5"/>
  <c r="E54" i="5"/>
  <c r="E55" i="5"/>
  <c r="E56" i="5"/>
  <c r="E57" i="5"/>
  <c r="E53" i="5"/>
  <c r="A4" i="5"/>
  <c r="E4" i="5"/>
  <c r="G4" i="5"/>
  <c r="I4" i="5"/>
  <c r="K4" i="5"/>
  <c r="K4" i="4"/>
  <c r="K5" i="4"/>
  <c r="K3" i="4"/>
  <c r="H10" i="4"/>
  <c r="H11" i="4"/>
  <c r="H12" i="4"/>
  <c r="H9" i="4"/>
  <c r="H4" i="4"/>
  <c r="H5" i="4"/>
  <c r="H6" i="4"/>
  <c r="H3" i="4"/>
  <c r="E7" i="4"/>
  <c r="E6" i="4"/>
  <c r="E3" i="4"/>
  <c r="E4" i="4"/>
  <c r="E5" i="4"/>
  <c r="E12" i="4"/>
  <c r="E13" i="4"/>
  <c r="E14" i="4"/>
  <c r="E11" i="4"/>
  <c r="B12" i="4"/>
  <c r="B11" i="4"/>
  <c r="B10" i="4"/>
  <c r="B9" i="4"/>
  <c r="B8" i="4"/>
  <c r="B7" i="4"/>
  <c r="B6" i="4"/>
  <c r="B5" i="4"/>
  <c r="B3" i="4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2" i="1"/>
  <c r="I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<sst xmlns="http://schemas.openxmlformats.org/spreadsheetml/2006/main" count="905" uniqueCount="322">
  <si>
    <t>Order_ID</t>
  </si>
  <si>
    <t>Order_Date</t>
  </si>
  <si>
    <t>Customer_ID</t>
  </si>
  <si>
    <t>Product_ID</t>
  </si>
  <si>
    <t>Product_Name</t>
  </si>
  <si>
    <t>Category</t>
  </si>
  <si>
    <t>Quantity</t>
  </si>
  <si>
    <t>Unit_Price</t>
  </si>
  <si>
    <t>Total_Amount</t>
  </si>
  <si>
    <t>Order_Status</t>
  </si>
  <si>
    <t>Shipping_City</t>
  </si>
  <si>
    <t>Delivery_Date</t>
  </si>
  <si>
    <t>Sales_Channel</t>
  </si>
  <si>
    <t>Processed_By</t>
  </si>
  <si>
    <t>Wireless Mouse</t>
  </si>
  <si>
    <t>Electronics</t>
  </si>
  <si>
    <t>Product_Nam</t>
  </si>
  <si>
    <t>Payment_Met</t>
  </si>
  <si>
    <t>Payment_Stat</t>
  </si>
  <si>
    <t>ORD001</t>
  </si>
  <si>
    <t>CUST101</t>
  </si>
  <si>
    <t>P1001</t>
  </si>
  <si>
    <t>Laptop</t>
  </si>
  <si>
    <t>Credit Card</t>
  </si>
  <si>
    <t>Paid</t>
  </si>
  <si>
    <t>Delivered</t>
  </si>
  <si>
    <t>New York</t>
  </si>
  <si>
    <t>Online</t>
  </si>
  <si>
    <t>Alice_B</t>
  </si>
  <si>
    <t>ORD002</t>
  </si>
  <si>
    <t>CUST102</t>
  </si>
  <si>
    <t>P1002</t>
  </si>
  <si>
    <t>Accessories</t>
  </si>
  <si>
    <t>PayPal</t>
  </si>
  <si>
    <t>Chicago</t>
  </si>
  <si>
    <t>Bob_M</t>
  </si>
  <si>
    <t>ORD003</t>
  </si>
  <si>
    <t>CUST103</t>
  </si>
  <si>
    <t>P1003</t>
  </si>
  <si>
    <t>Office Chair</t>
  </si>
  <si>
    <t>Furniture</t>
  </si>
  <si>
    <t>Debit Card</t>
  </si>
  <si>
    <t>Shipped</t>
  </si>
  <si>
    <t>Seattle</t>
  </si>
  <si>
    <t>In-Store</t>
  </si>
  <si>
    <t>Charlie_D</t>
  </si>
  <si>
    <t>ORD004</t>
  </si>
  <si>
    <t>CUST104</t>
  </si>
  <si>
    <t>P1004</t>
  </si>
  <si>
    <t>Monitor</t>
  </si>
  <si>
    <t>Pending</t>
  </si>
  <si>
    <t>Processing</t>
  </si>
  <si>
    <t>Austin</t>
  </si>
  <si>
    <t>ORD005</t>
  </si>
  <si>
    <t>CUST105</t>
  </si>
  <si>
    <t>P1005</t>
  </si>
  <si>
    <t>Mechanical Keyboard</t>
  </si>
  <si>
    <t>Denver</t>
  </si>
  <si>
    <t>App</t>
  </si>
  <si>
    <t>Eva_R</t>
  </si>
  <si>
    <t>ORD006</t>
  </si>
  <si>
    <t>CUST106</t>
  </si>
  <si>
    <t>P1006</t>
  </si>
  <si>
    <t>Standing Desk</t>
  </si>
  <si>
    <t>Miami</t>
  </si>
  <si>
    <t>ORD007</t>
  </si>
  <si>
    <t>CUST107</t>
  </si>
  <si>
    <t>P1007</t>
  </si>
  <si>
    <t>Smartphone</t>
  </si>
  <si>
    <t>Cash</t>
  </si>
  <si>
    <t>Boston</t>
  </si>
  <si>
    <t>ORD008</t>
  </si>
  <si>
    <t>CUST108</t>
  </si>
  <si>
    <t>P1008</t>
  </si>
  <si>
    <t>Headphones</t>
  </si>
  <si>
    <t>Failed</t>
  </si>
  <si>
    <t>Cancelled</t>
  </si>
  <si>
    <t>Atlanta</t>
  </si>
  <si>
    <t>N/A</t>
  </si>
  <si>
    <t>ORD009</t>
  </si>
  <si>
    <t>CUST109</t>
  </si>
  <si>
    <t>P1009</t>
  </si>
  <si>
    <t>Tablet</t>
  </si>
  <si>
    <t>Dallas</t>
  </si>
  <si>
    <t>ORD010</t>
  </si>
  <si>
    <t>CUST110</t>
  </si>
  <si>
    <t>P1010</t>
  </si>
  <si>
    <t>Desk Lamp</t>
  </si>
  <si>
    <t>Phoenix</t>
  </si>
  <si>
    <t>ORD011</t>
  </si>
  <si>
    <t>CUST111</t>
  </si>
  <si>
    <t>ORD012</t>
  </si>
  <si>
    <t>CUST112</t>
  </si>
  <si>
    <t>ORD013</t>
  </si>
  <si>
    <t>CUST113</t>
  </si>
  <si>
    <t>Bank Transfer</t>
  </si>
  <si>
    <t>B2B</t>
  </si>
  <si>
    <t>ORD014</t>
  </si>
  <si>
    <t>CUST114</t>
  </si>
  <si>
    <t>ORD015</t>
  </si>
  <si>
    <t>CUST115</t>
  </si>
  <si>
    <t>ORD016</t>
  </si>
  <si>
    <t>CUST116</t>
  </si>
  <si>
    <t>ORD017</t>
  </si>
  <si>
    <t>CUST117</t>
  </si>
  <si>
    <t>ORD018</t>
  </si>
  <si>
    <t>CUST118</t>
  </si>
  <si>
    <t>ORD019</t>
  </si>
  <si>
    <t>CUST119</t>
  </si>
  <si>
    <t>ORD020</t>
  </si>
  <si>
    <t>CUST120</t>
  </si>
  <si>
    <t>ORD021</t>
  </si>
  <si>
    <t>CUST121</t>
  </si>
  <si>
    <t>ORD022</t>
  </si>
  <si>
    <t>CUST122</t>
  </si>
  <si>
    <t>ORD023</t>
  </si>
  <si>
    <t>CUST123</t>
  </si>
  <si>
    <t>ORD024</t>
  </si>
  <si>
    <t>CUST124</t>
  </si>
  <si>
    <t>ORD025</t>
  </si>
  <si>
    <t>CUST125</t>
  </si>
  <si>
    <t>ORD026</t>
  </si>
  <si>
    <t>CUST126</t>
  </si>
  <si>
    <t>ORD027</t>
  </si>
  <si>
    <t>CUST127</t>
  </si>
  <si>
    <t>ORD028</t>
  </si>
  <si>
    <t>CUST128</t>
  </si>
  <si>
    <t>ORD029</t>
  </si>
  <si>
    <t>CUST129</t>
  </si>
  <si>
    <t>ORD030</t>
  </si>
  <si>
    <t>CUST130</t>
  </si>
  <si>
    <t>ORD031</t>
  </si>
  <si>
    <t>CUST131</t>
  </si>
  <si>
    <t>ORD032</t>
  </si>
  <si>
    <t>CUST132</t>
  </si>
  <si>
    <t>ORD033</t>
  </si>
  <si>
    <t>CUST133</t>
  </si>
  <si>
    <t>ORD034</t>
  </si>
  <si>
    <t>CUST134</t>
  </si>
  <si>
    <t>ORD035</t>
  </si>
  <si>
    <t>CUST135</t>
  </si>
  <si>
    <t>ORD036</t>
  </si>
  <si>
    <t>CUST136</t>
  </si>
  <si>
    <t>ORD037</t>
  </si>
  <si>
    <t>CUST137</t>
  </si>
  <si>
    <t>ORD038</t>
  </si>
  <si>
    <t>CUST138</t>
  </si>
  <si>
    <t>ORD039</t>
  </si>
  <si>
    <t>CUST139</t>
  </si>
  <si>
    <t>ORD040</t>
  </si>
  <si>
    <t>CUST140</t>
  </si>
  <si>
    <t>ORD041</t>
  </si>
  <si>
    <t>CUST141</t>
  </si>
  <si>
    <t>ORD042</t>
  </si>
  <si>
    <t>CUST142</t>
  </si>
  <si>
    <t>ORD043</t>
  </si>
  <si>
    <t>CUST143</t>
  </si>
  <si>
    <t>ORD044</t>
  </si>
  <si>
    <t>CUST144</t>
  </si>
  <si>
    <t>ORD045</t>
  </si>
  <si>
    <t>CUST145</t>
  </si>
  <si>
    <t>ORD046</t>
  </si>
  <si>
    <t>CUST146</t>
  </si>
  <si>
    <t>ORD047</t>
  </si>
  <si>
    <t>CUST147</t>
  </si>
  <si>
    <t>ORD048</t>
  </si>
  <si>
    <t>CUST148</t>
  </si>
  <si>
    <t>ORD049</t>
  </si>
  <si>
    <t>CUST149</t>
  </si>
  <si>
    <t>ORD050</t>
  </si>
  <si>
    <t>CUST150</t>
  </si>
  <si>
    <t>Customer_Name</t>
  </si>
  <si>
    <t>Gender</t>
  </si>
  <si>
    <t>Age</t>
  </si>
  <si>
    <t>Phone</t>
  </si>
  <si>
    <t>Email</t>
  </si>
  <si>
    <t>City</t>
  </si>
  <si>
    <t>Customer_Type</t>
  </si>
  <si>
    <t>Rahul Sharma</t>
  </si>
  <si>
    <t>Male</t>
  </si>
  <si>
    <t>rahul@gmail.com</t>
  </si>
  <si>
    <t>Regular</t>
  </si>
  <si>
    <t>Priya Verma</t>
  </si>
  <si>
    <t>Female</t>
  </si>
  <si>
    <t>priya@gmail.com</t>
  </si>
  <si>
    <t>Premium</t>
  </si>
  <si>
    <t>Amit Singh</t>
  </si>
  <si>
    <t>amit@gmail.com</t>
  </si>
  <si>
    <t>Neha Gupta</t>
  </si>
  <si>
    <t>neha@gmail.com</t>
  </si>
  <si>
    <t>New</t>
  </si>
  <si>
    <t>Rohit Jain</t>
  </si>
  <si>
    <t>rohit@gmail.com</t>
  </si>
  <si>
    <t>Anjali Mehta</t>
  </si>
  <si>
    <t>anjali@gmail.com</t>
  </si>
  <si>
    <t>Karan Patel</t>
  </si>
  <si>
    <t>karan@gmail.com</t>
  </si>
  <si>
    <t>Sneha Kapoor</t>
  </si>
  <si>
    <t>sneha@gmail.com</t>
  </si>
  <si>
    <t>Arjun Malhotra</t>
  </si>
  <si>
    <t>arjun@gmail.com</t>
  </si>
  <si>
    <t>Pooja Sharma</t>
  </si>
  <si>
    <t>pooja@gmail.com</t>
  </si>
  <si>
    <t>Stock_Available</t>
  </si>
  <si>
    <t>Supplier</t>
  </si>
  <si>
    <t>Reorder_Level</t>
  </si>
  <si>
    <t>TechWorld</t>
  </si>
  <si>
    <t>AccessPro</t>
  </si>
  <si>
    <t>FurniMart</t>
  </si>
  <si>
    <t>MobileHub</t>
  </si>
  <si>
    <t>AudioTech</t>
  </si>
  <si>
    <t>HomeSupply</t>
  </si>
  <si>
    <t>Customer_Check</t>
  </si>
  <si>
    <t>Duplicate_Check</t>
  </si>
  <si>
    <t>Riya Kapoor</t>
  </si>
  <si>
    <t>riya@gmail.com</t>
  </si>
  <si>
    <t>Vikash Kumar</t>
  </si>
  <si>
    <t>vikash@gmail.com</t>
  </si>
  <si>
    <t>Simran Kaur</t>
  </si>
  <si>
    <t>simran@gmail.com</t>
  </si>
  <si>
    <t>Mohit Agarwal</t>
  </si>
  <si>
    <t>mohit@gmail.com</t>
  </si>
  <si>
    <t>Kavya Joshi</t>
  </si>
  <si>
    <t>kavya@gmail.com</t>
  </si>
  <si>
    <t>Aditya Rao</t>
  </si>
  <si>
    <t>aditya@gmail.com</t>
  </si>
  <si>
    <t>Nisha Sharma</t>
  </si>
  <si>
    <t>nisha@gmail.com</t>
  </si>
  <si>
    <t>Rahul Mehta</t>
  </si>
  <si>
    <t>rahul2@gmail.com</t>
  </si>
  <si>
    <t>Tanya Singh</t>
  </si>
  <si>
    <t>tanya@gmail.com</t>
  </si>
  <si>
    <t>Manish Gupta</t>
  </si>
  <si>
    <t>manish@gmail.com</t>
  </si>
  <si>
    <t>Pankaj Verma</t>
  </si>
  <si>
    <t>pankaj@gmail.com</t>
  </si>
  <si>
    <t>Ayesha Khan</t>
  </si>
  <si>
    <t>ayesha@gmail.com</t>
  </si>
  <si>
    <t>Deepak Jain</t>
  </si>
  <si>
    <t>deepak@gmail.com</t>
  </si>
  <si>
    <t>Meena Patel</t>
  </si>
  <si>
    <t>meena@gmail.com</t>
  </si>
  <si>
    <t>Saurabh Mishra</t>
  </si>
  <si>
    <t>saurabh@gmail.com</t>
  </si>
  <si>
    <t>Ankit Sharma</t>
  </si>
  <si>
    <t>ankit@gmail.com</t>
  </si>
  <si>
    <t>Shreya Verma</t>
  </si>
  <si>
    <t>shreya@gmail.com</t>
  </si>
  <si>
    <t>Rajesh Singh</t>
  </si>
  <si>
    <t>rajesh@gmail.com</t>
  </si>
  <si>
    <t>Divya Gupta</t>
  </si>
  <si>
    <t>divya@gmail.com</t>
  </si>
  <si>
    <t>Kunal Jain</t>
  </si>
  <si>
    <t>kunal@gmail.com</t>
  </si>
  <si>
    <t>Ritika Mehta</t>
  </si>
  <si>
    <t>ritika@gmail.com</t>
  </si>
  <si>
    <t>Varun Patel</t>
  </si>
  <si>
    <t>varun@gmail.com</t>
  </si>
  <si>
    <t>Priyanka Joshi</t>
  </si>
  <si>
    <t>priyanka@gmail.com</t>
  </si>
  <si>
    <t>Abhishek Rao</t>
  </si>
  <si>
    <t>abhishek@gmail.com</t>
  </si>
  <si>
    <t>Komal Kapoor</t>
  </si>
  <si>
    <t>komal@gmail.com</t>
  </si>
  <si>
    <t>Nitin Agarwal</t>
  </si>
  <si>
    <t>nitin@gmail.com</t>
  </si>
  <si>
    <t>Sakshi Sharma</t>
  </si>
  <si>
    <t>sakshi@gmail.com</t>
  </si>
  <si>
    <t>Manoj Kumar</t>
  </si>
  <si>
    <t>manoj@gmail.com</t>
  </si>
  <si>
    <t>Preeti Singh</t>
  </si>
  <si>
    <t>preeti@gmail.com</t>
  </si>
  <si>
    <t>Rakesh Verma</t>
  </si>
  <si>
    <t>rakesh@gmail.com</t>
  </si>
  <si>
    <t>Shivani Gupta</t>
  </si>
  <si>
    <t>shivani@gmail.com</t>
  </si>
  <si>
    <t>Ashish Malhotra</t>
  </si>
  <si>
    <t>ashish@gmail.com</t>
  </si>
  <si>
    <t>Neha Kapoor</t>
  </si>
  <si>
    <t>neha2@gmail.com</t>
  </si>
  <si>
    <t>Rohit Mehta</t>
  </si>
  <si>
    <t>rohit2@gmail.com</t>
  </si>
  <si>
    <t>Pallavi Jain</t>
  </si>
  <si>
    <t>pallavi@gmail.com</t>
  </si>
  <si>
    <t>Sachin Patel</t>
  </si>
  <si>
    <t>sachin@gmail.com</t>
  </si>
  <si>
    <t>Anjali Sharma</t>
  </si>
  <si>
    <t>anjali2@gmail.com</t>
  </si>
  <si>
    <t>Vivek Singh</t>
  </si>
  <si>
    <t>vivek@gmail.com</t>
  </si>
  <si>
    <t>Monika Verma</t>
  </si>
  <si>
    <t>monika@gmail.com</t>
  </si>
  <si>
    <t>Sandeep Gupta</t>
  </si>
  <si>
    <t>sandeep@gmail.com</t>
  </si>
  <si>
    <t>ORDER PROCESSING MIS REPORT</t>
  </si>
  <si>
    <t>Total Orders</t>
  </si>
  <si>
    <t>Total Sales</t>
  </si>
  <si>
    <t>Delivered Orders</t>
  </si>
  <si>
    <t>Processing Orders</t>
  </si>
  <si>
    <t>Shipped Orders</t>
  </si>
  <si>
    <t>Pending Orders</t>
  </si>
  <si>
    <t>Cancelled Orders</t>
  </si>
  <si>
    <t>Pending Payments</t>
  </si>
  <si>
    <t>Failed Payments</t>
  </si>
  <si>
    <t>Average Order Value</t>
  </si>
  <si>
    <t>ORDER STATUS</t>
  </si>
  <si>
    <t>ORDER COUNT</t>
  </si>
  <si>
    <t>PAYMENT STATUS</t>
  </si>
  <si>
    <t>Refunded</t>
  </si>
  <si>
    <t>SALES CHANNEL</t>
  </si>
  <si>
    <t>TOTAL SALES</t>
  </si>
  <si>
    <t>CATEGORY</t>
  </si>
  <si>
    <t>TOTAL ORDERS</t>
  </si>
  <si>
    <t>DELIVERED</t>
  </si>
  <si>
    <t>PROCESSING</t>
  </si>
  <si>
    <t>SHIPPED</t>
  </si>
  <si>
    <t>CANCELLED</t>
  </si>
  <si>
    <t>Order Status</t>
  </si>
  <si>
    <t>Order Count</t>
  </si>
  <si>
    <t>Sales Channel</t>
  </si>
  <si>
    <t>ORDER PROCESSING &amp; OPERATIONS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</si>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</sst>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₹-439]#,##0.00;[$₹-439]\-#,##0.00"/>
    <numFmt numFmtId="165" formatCode="[$₹-439]#,##0.0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0" fontId="4" fillId="0" borderId="0" xfId="2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0" fillId="0" borderId="0" xfId="1" applyNumberFormat="1" applyFont="1"/>
    <xf numFmtId="164" fontId="0" fillId="0" borderId="0" xfId="0" applyNumberFormat="1"/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2" fillId="0" borderId="11" xfId="0" applyFont="1" applyBorder="1" applyAlignment="1">
      <alignment horizontal="right" vertical="center" wrapText="1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165" fontId="7" fillId="0" borderId="0" xfId="0" applyNumberFormat="1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right" vertical="center" wrapText="1"/>
    </xf>
  </cellXfs>
  <cellStyles count="3">
    <cellStyle name="Currency" xfId="1" builtinId="4"/>
    <cellStyle name="Hyperlink" xfId="2" builtinId="8"/>
    <cellStyle name="Normal" xfId="0" builtinId="0"/>
  </cellStyles>
  <dxfs count="38">
    <dxf>
      <font>
        <color rgb="FF9C0006"/>
      </font>
      <fill>
        <patternFill>
          <bgColor rgb="FFFFC7CE"/>
        </patternFill>
      </fill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[$₹-439]#,##0.00;[$₹-439]\-#,##0.00"/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colors>
    <mruColors>
      <color rgb="FFB56EE0"/>
      <color rgb="FFA953D9"/>
      <color rgb="FF70CC00"/>
      <color rgb="FF99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Order Status Overview</a:t>
            </a: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ln>
                <a:noFill/>
              </a:ln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Dashboard!$E$52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ln>
                      <a:noFill/>
                    </a:ln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Dashboard!$D$53:$D$57</c:f>
              <c:strCache>
                <c:ptCount val="5"/>
                <c:pt idx="0">
                  <c:v>Delivered</c:v>
                </c:pt>
                <c:pt idx="1">
                  <c:v>Processing</c:v>
                </c:pt>
                <c:pt idx="2">
                  <c:v>Shipped</c:v>
                </c:pt>
                <c:pt idx="3">
                  <c:v>Pending</c:v>
                </c:pt>
                <c:pt idx="4">
                  <c:v>Cancelled</c:v>
                </c:pt>
              </c:strCache>
            </c:strRef>
          </c:cat>
          <c:val>
            <c:numRef>
              <c:f>Dashboard!$E$53:$E$57</c:f>
              <c:numCache>
                <c:formatCode>General</c:formatCode>
                <c:ptCount val="5"/>
                <c:pt idx="0">
                  <c:v>18</c:v>
                </c:pt>
                <c:pt idx="1">
                  <c:v>14</c:v>
                </c:pt>
                <c:pt idx="2">
                  <c:v>14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B-4375-93D5-A8BA39B80E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1"/>
        <c:overlap val="-24"/>
        <c:axId val="943393664"/>
        <c:axId val="330063760"/>
      </c:barChart>
      <c:catAx>
        <c:axId val="943393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63760"/>
        <c:crosses val="autoZero"/>
        <c:auto val="1"/>
        <c:lblAlgn val="ctr"/>
        <c:lblOffset val="100"/>
        <c:noMultiLvlLbl val="0"/>
      </c:catAx>
      <c:valAx>
        <c:axId val="33006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393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800">
          <a:ln>
            <a:noFill/>
          </a:ln>
          <a:solidFill>
            <a:schemeClr val="tx2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Sales Channel Performance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Dashboard!$B$52</c:f>
              <c:strCache>
                <c:ptCount val="1"/>
                <c:pt idx="0">
                  <c:v>Order Count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Dashboard!$A$53:$A$56</c:f>
              <c:strCache>
                <c:ptCount val="4"/>
                <c:pt idx="0">
                  <c:v>Online</c:v>
                </c:pt>
                <c:pt idx="1">
                  <c:v>In-Store</c:v>
                </c:pt>
                <c:pt idx="2">
                  <c:v>App</c:v>
                </c:pt>
                <c:pt idx="3">
                  <c:v>B2B</c:v>
                </c:pt>
              </c:strCache>
            </c:strRef>
          </c:cat>
          <c:val>
            <c:numRef>
              <c:f>Dashboard!$B$53:$B$56</c:f>
              <c:numCache>
                <c:formatCode>General</c:formatCode>
                <c:ptCount val="4"/>
                <c:pt idx="0">
                  <c:v>24</c:v>
                </c:pt>
                <c:pt idx="1">
                  <c:v>8</c:v>
                </c:pt>
                <c:pt idx="2">
                  <c:v>13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0-411C-9B04-352A49C5B6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4"/>
        <c:axId val="324908096"/>
        <c:axId val="151849392"/>
      </c:barChart>
      <c:catAx>
        <c:axId val="32490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49392"/>
        <c:crosses val="autoZero"/>
        <c:auto val="1"/>
        <c:lblAlgn val="ctr"/>
        <c:lblOffset val="100"/>
        <c:noMultiLvlLbl val="0"/>
      </c:catAx>
      <c:valAx>
        <c:axId val="151849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90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Category-wise Sales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Dashboard!$K$52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Dashboard!$J$53:$J$55</c:f>
              <c:strCache>
                <c:ptCount val="3"/>
                <c:pt idx="0">
                  <c:v>Electronics</c:v>
                </c:pt>
                <c:pt idx="1">
                  <c:v>Accessories</c:v>
                </c:pt>
                <c:pt idx="2">
                  <c:v>Furniture</c:v>
                </c:pt>
              </c:strCache>
            </c:strRef>
          </c:cat>
          <c:val>
            <c:numRef>
              <c:f>Dashboard!$K$53:$K$55</c:f>
              <c:numCache>
                <c:formatCode>General</c:formatCode>
                <c:ptCount val="3"/>
                <c:pt idx="0">
                  <c:v>23300</c:v>
                </c:pt>
                <c:pt idx="1">
                  <c:v>1695</c:v>
                </c:pt>
                <c:pt idx="2">
                  <c:v>5445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B-468B-82CF-9587A39C86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3"/>
        <c:overlap val="-24"/>
        <c:axId val="263159120"/>
        <c:axId val="252612848"/>
      </c:barChart>
      <c:catAx>
        <c:axId val="26315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612848"/>
        <c:crosses val="autoZero"/>
        <c:auto val="1"/>
        <c:lblAlgn val="ctr"/>
        <c:lblOffset val="100"/>
        <c:noMultiLvlLbl val="0"/>
      </c:catAx>
      <c:valAx>
        <c:axId val="25261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15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bg1"/>
                </a:solidFill>
              </a:rPr>
              <a:t>Sales by Channel</a:t>
            </a:r>
            <a:endParaRPr lang="en-US">
              <a:solidFill>
                <a:schemeClr val="bg1"/>
              </a:solidFill>
            </a:endParaRPr>
          </a:p>
        </c:rich>
      </c:tx>
      <c:overlay val="0"/>
      <c:spPr>
        <a:solidFill>
          <a:srgbClr val="00206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Dashboard!$H$52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Dashboard!$G$53:$G$56</c:f>
              <c:strCache>
                <c:ptCount val="4"/>
                <c:pt idx="0">
                  <c:v>Online</c:v>
                </c:pt>
                <c:pt idx="1">
                  <c:v>In-Store</c:v>
                </c:pt>
                <c:pt idx="2">
                  <c:v>App</c:v>
                </c:pt>
                <c:pt idx="3">
                  <c:v>B2B</c:v>
                </c:pt>
              </c:strCache>
            </c:strRef>
          </c:cat>
          <c:val>
            <c:numRef>
              <c:f>Dashboard!$H$53:$H$56</c:f>
              <c:numCache>
                <c:formatCode>General</c:formatCode>
                <c:ptCount val="4"/>
                <c:pt idx="0">
                  <c:v>11370</c:v>
                </c:pt>
                <c:pt idx="1">
                  <c:v>4185</c:v>
                </c:pt>
                <c:pt idx="2">
                  <c:v>3635</c:v>
                </c:pt>
                <c:pt idx="3">
                  <c:v>11250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4-4A0A-B492-1C753AFC9E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2"/>
        <c:overlap val="100"/>
        <c:axId val="1038410752"/>
        <c:axId val="151867632"/>
      </c:barChart>
      <c:catAx>
        <c:axId val="103841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7632"/>
        <c:crosses val="autoZero"/>
        <c:auto val="1"/>
        <c:lblAlgn val="ctr"/>
        <c:lblOffset val="100"/>
        <c:noMultiLvlLbl val="0"/>
      </c:catAx>
      <c:valAx>
        <c:axId val="151867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841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147249</xdr:rowOff>
    </xdr:from>
    <xdr:to>
      <xdr:col>4</xdr:col>
      <xdr:colOff>1004957</xdr:colOff>
      <xdr:row>19</xdr:row>
      <xdr:rowOff>147250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30800-D6A5-7D22-BAD6-59F1DB021A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1090084</xdr:colOff>
      <xdr:row>4</xdr:row>
      <xdr:rowOff>143740</xdr:rowOff>
    </xdr:from>
    <xdr:to>
      <xdr:col>10</xdr:col>
      <xdr:colOff>1512956</xdr:colOff>
      <xdr:row>19</xdr:row>
      <xdr:rowOff>168015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7334E7-4D90-B8C7-3345-ED5F4D231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11043</xdr:colOff>
      <xdr:row>20</xdr:row>
      <xdr:rowOff>70821</xdr:rowOff>
    </xdr:from>
    <xdr:to>
      <xdr:col>4</xdr:col>
      <xdr:colOff>1004956</xdr:colOff>
      <xdr:row>35</xdr:row>
      <xdr:rowOff>121708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CFD6D1-B483-799B-A002-FB64DE013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1076816</xdr:colOff>
      <xdr:row>20</xdr:row>
      <xdr:rowOff>89958</xdr:rowOff>
    </xdr:from>
    <xdr:to>
      <xdr:col>10</xdr:col>
      <xdr:colOff>1524613</xdr:colOff>
      <xdr:row>35</xdr:row>
      <xdr:rowOff>121707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4A936E-B531-5EB4-32C9-45141B498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11906</xdr:colOff>
      <xdr:row>2</xdr:row>
      <xdr:rowOff>35719</xdr:rowOff>
    </xdr:from>
    <xdr:to>
      <xdr:col>1</xdr:col>
      <xdr:colOff>333375</xdr:colOff>
      <xdr:row>4</xdr:row>
      <xdr:rowOff>98349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2484F86-2CA8-F789-B239-A68674A830A4}"/>
            </a:ext>
          </a:extLst>
        </xdr:cNvPr>
        <xdr:cNvSpPr/>
      </xdr:nvSpPr>
      <xdr:spPr>
        <a:xfrm>
          <a:off x="11906" y="500063"/>
          <a:ext cx="1940719" cy="669849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TOTAL ORDERS</a:t>
          </a:r>
        </a:p>
        <a:p>
          <a:pPr algn="ctr"/>
          <a:r>
            <a:rPr lang="en-IN" sz="1600">
              <a:solidFill>
                <a:schemeClr val="bg1"/>
              </a:solidFill>
            </a:rPr>
            <a:t>50</a:t>
          </a:r>
        </a:p>
      </xdr:txBody>
    </xdr:sp>
    <xdr:clientData/>
  </xdr:twoCellAnchor>
  <xdr:twoCellAnchor>
    <xdr:from>
      <xdr:col>1</xdr:col>
      <xdr:colOff>357189</xdr:colOff>
      <xdr:row>2</xdr:row>
      <xdr:rowOff>35718</xdr:rowOff>
    </xdr:from>
    <xdr:to>
      <xdr:col>3</xdr:col>
      <xdr:colOff>250032</xdr:colOff>
      <xdr:row>4</xdr:row>
      <xdr:rowOff>98348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42D0897-E0A6-4098-BFFF-9D715090A037}"/>
            </a:ext>
          </a:extLst>
        </xdr:cNvPr>
        <xdr:cNvSpPr/>
      </xdr:nvSpPr>
      <xdr:spPr>
        <a:xfrm>
          <a:off x="1976439" y="500062"/>
          <a:ext cx="2226468" cy="669849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TOTAL SALES</a:t>
          </a:r>
        </a:p>
        <a:p>
          <a:pPr algn="ctr"/>
          <a:r>
            <a:rPr lang="en-IN" sz="1600"/>
            <a:t>₹</a:t>
          </a:r>
          <a:r>
            <a:rPr lang="en-IN" sz="1600">
              <a:solidFill>
                <a:schemeClr val="bg1"/>
              </a:solidFill>
            </a:rPr>
            <a:t>30,440</a:t>
          </a:r>
        </a:p>
      </xdr:txBody>
    </xdr:sp>
    <xdr:clientData/>
  </xdr:twoCellAnchor>
  <xdr:twoCellAnchor>
    <xdr:from>
      <xdr:col>3</xdr:col>
      <xdr:colOff>271463</xdr:colOff>
      <xdr:row>2</xdr:row>
      <xdr:rowOff>33337</xdr:rowOff>
    </xdr:from>
    <xdr:to>
      <xdr:col>5</xdr:col>
      <xdr:colOff>369094</xdr:colOff>
      <xdr:row>4</xdr:row>
      <xdr:rowOff>95967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379A0CC-6625-437E-8FA6-C65143340990}"/>
            </a:ext>
          </a:extLst>
        </xdr:cNvPr>
        <xdr:cNvSpPr/>
      </xdr:nvSpPr>
      <xdr:spPr>
        <a:xfrm>
          <a:off x="4224338" y="497681"/>
          <a:ext cx="2205037" cy="669849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DELIVERED</a:t>
          </a:r>
        </a:p>
        <a:p>
          <a:pPr algn="ctr"/>
          <a:r>
            <a:rPr lang="en-IN" sz="1600">
              <a:solidFill>
                <a:schemeClr val="bg1"/>
              </a:solidFill>
            </a:rPr>
            <a:t>18</a:t>
          </a:r>
        </a:p>
      </xdr:txBody>
    </xdr:sp>
    <xdr:clientData/>
  </xdr:twoCellAnchor>
  <xdr:twoCellAnchor>
    <xdr:from>
      <xdr:col>5</xdr:col>
      <xdr:colOff>400050</xdr:colOff>
      <xdr:row>2</xdr:row>
      <xdr:rowOff>30955</xdr:rowOff>
    </xdr:from>
    <xdr:to>
      <xdr:col>7</xdr:col>
      <xdr:colOff>488157</xdr:colOff>
      <xdr:row>4</xdr:row>
      <xdr:rowOff>93585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50AD184-F8A1-436C-880E-0D9AB1BACA97}"/>
            </a:ext>
          </a:extLst>
        </xdr:cNvPr>
        <xdr:cNvSpPr/>
      </xdr:nvSpPr>
      <xdr:spPr>
        <a:xfrm>
          <a:off x="6460331" y="495299"/>
          <a:ext cx="2207420" cy="669849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PROCESSING</a:t>
          </a:r>
        </a:p>
        <a:p>
          <a:pPr algn="ctr"/>
          <a:r>
            <a:rPr lang="en-IN" sz="1600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7</xdr:col>
      <xdr:colOff>511971</xdr:colOff>
      <xdr:row>2</xdr:row>
      <xdr:rowOff>28574</xdr:rowOff>
    </xdr:from>
    <xdr:to>
      <xdr:col>9</xdr:col>
      <xdr:colOff>678658</xdr:colOff>
      <xdr:row>4</xdr:row>
      <xdr:rowOff>91204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0A276EAC-A240-4FE6-81B6-E34476307B82}"/>
            </a:ext>
          </a:extLst>
        </xdr:cNvPr>
        <xdr:cNvSpPr/>
      </xdr:nvSpPr>
      <xdr:spPr>
        <a:xfrm>
          <a:off x="8691565" y="492918"/>
          <a:ext cx="1916906" cy="669849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SHIPPED</a:t>
          </a:r>
        </a:p>
        <a:p>
          <a:pPr algn="ctr"/>
          <a:r>
            <a:rPr lang="en-IN" sz="1600">
              <a:solidFill>
                <a:schemeClr val="bg1"/>
              </a:solidFill>
            </a:rPr>
            <a:t>14</a:t>
          </a:r>
        </a:p>
      </xdr:txBody>
    </xdr:sp>
    <xdr:clientData/>
  </xdr:twoCellAnchor>
  <xdr:twoCellAnchor>
    <xdr:from>
      <xdr:col>9</xdr:col>
      <xdr:colOff>690561</xdr:colOff>
      <xdr:row>2</xdr:row>
      <xdr:rowOff>38100</xdr:rowOff>
    </xdr:from>
    <xdr:to>
      <xdr:col>10</xdr:col>
      <xdr:colOff>1535905</xdr:colOff>
      <xdr:row>4</xdr:row>
      <xdr:rowOff>100730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FB77CDA-71DA-472D-A150-2F65BEC3F2A0}"/>
            </a:ext>
          </a:extLst>
        </xdr:cNvPr>
        <xdr:cNvSpPr/>
      </xdr:nvSpPr>
      <xdr:spPr>
        <a:xfrm>
          <a:off x="10620374" y="502444"/>
          <a:ext cx="1750219" cy="669849"/>
        </a:xfrm>
        <a:prstGeom prst="roundRect">
          <a:avLst/>
        </a:prstGeom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600">
              <a:solidFill>
                <a:schemeClr val="bg1"/>
              </a:solidFill>
            </a:rPr>
            <a:t>CANCELLED</a:t>
          </a:r>
        </a:p>
        <a:p>
          <a:pPr algn="ctr"/>
          <a:r>
            <a:rPr lang="en-IN" sz="1600">
              <a:solidFill>
                <a:schemeClr val="bg1"/>
              </a:solidFill>
            </a:rPr>
            <a:t>4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9CE6312-9D8E-41EC-9EC5-BCB1D9FAEF02}" name="Orders_Data" displayName="Orders_Data" ref="A1:R51" totalsRowShown="0" headerRowDxfId="37" tableBorderDxfId="36">
  <autoFilter ref="A1:R51" xr:uid="{69CE6312-9D8E-41EC-9EC5-BCB1D9FAEF02}"/>
  <tableColumns count="18">
    <tableColumn id="1" xr3:uid="{E277DF72-D305-4D91-BB44-BFE172A60A4B}" name="Order_ID" dataDxfId="35"/>
    <tableColumn id="2" xr3:uid="{708729F3-AB8C-45DE-B3AD-F7A7E3B44237}" name="Order_Date" dataDxfId="34"/>
    <tableColumn id="3" xr3:uid="{941FBE68-968C-4073-AF7B-C7BEEF058562}" name="Customer_ID" dataDxfId="33"/>
    <tableColumn id="4" xr3:uid="{A9FA44E5-B1DF-47B5-BE90-5A654C73400A}" name="Product_ID" dataDxfId="32"/>
    <tableColumn id="5" xr3:uid="{86697F50-52EE-45C4-A0FD-54C2523EEE7D}" name="Product_Nam" dataDxfId="31">
      <calculatedColumnFormula>_xlfn.XLOOKUP(D2,Product_Master_Table[Product_ID],Product_Master_Table[Product_Name],"Not Found")</calculatedColumnFormula>
    </tableColumn>
    <tableColumn id="6" xr3:uid="{729EA161-BD23-4544-BE03-0C76A4C7DD11}" name="Category" dataDxfId="30">
      <calculatedColumnFormula>_xlfn.XLOOKUP(D2,Product_Master_Table[Product_ID],Product_Master_Table[Category],"Not Found")</calculatedColumnFormula>
    </tableColumn>
    <tableColumn id="7" xr3:uid="{364A01DE-E644-4523-8978-C951311A27A2}" name="Quantity" dataDxfId="29"/>
    <tableColumn id="8" xr3:uid="{55C94A32-AFB9-4224-A6EF-9EEC9EDFBC7F}" name="Unit_Price" dataDxfId="28">
      <calculatedColumnFormula>_xlfn.XLOOKUP(D2,Product_Master_Table[Product_ID],Product_Master_Table[Unit_Price],"Not Found")</calculatedColumnFormula>
    </tableColumn>
    <tableColumn id="9" xr3:uid="{7F00C940-31C8-4B4D-AEB5-1E77B4D20773}" name="Total_Amount" dataDxfId="27" dataCellStyle="Currency">
      <calculatedColumnFormula>H2*G2</calculatedColumnFormula>
    </tableColumn>
    <tableColumn id="10" xr3:uid="{8499B363-6702-4247-8946-B81448795A15}" name="Payment_Met" dataDxfId="26"/>
    <tableColumn id="11" xr3:uid="{E0B5AF7C-2DEF-46DD-BDD9-F3A3A088D17F}" name="Payment_Stat" dataDxfId="25"/>
    <tableColumn id="12" xr3:uid="{48790835-C1FE-4EDC-A612-F9C715C3197C}" name="Order_Status" dataDxfId="24"/>
    <tableColumn id="13" xr3:uid="{241DDF86-56C0-4C44-9E81-7DB53100A90E}" name="Shipping_City" dataDxfId="23"/>
    <tableColumn id="14" xr3:uid="{062EEEAB-B3A9-4651-80B0-89E6FE9CB37F}" name="Delivery_Date" dataDxfId="22"/>
    <tableColumn id="15" xr3:uid="{0346068B-1048-4BCD-B03F-836D47AA6D93}" name="Sales_Channel" dataDxfId="21"/>
    <tableColumn id="16" xr3:uid="{C1174D6D-8935-4C7F-AD84-35F2304F464B}" name="Processed_By" dataDxfId="20"/>
    <tableColumn id="17" xr3:uid="{7582ED6F-0BC7-42F4-9E1E-246D3AE7F52B}" name="Customer_Check">
      <calculatedColumnFormula>IF(COUNTIF(Customer_Master_Table[Customer_ID],C2)&gt;0,"Valid","Invalid")</calculatedColumnFormula>
    </tableColumn>
    <tableColumn id="18" xr3:uid="{002A1B54-9AD5-4D48-81F5-55802AB97DBA}" name="Duplicate_Check">
      <calculatedColumnFormula>IF(COUNTIF(A2,A2)&gt;1,"Duplicate","Unique")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EB8AF2-63C4-4B67-A8D2-390B9BF0ECB9}" name="Customer_Master_Table" displayName="Customer_Master_Table" ref="A1:H51" totalsRowShown="0" headerRowDxfId="19" dataDxfId="18">
  <autoFilter ref="A1:H51" xr:uid="{42EB8AF2-63C4-4B67-A8D2-390B9BF0ECB9}"/>
  <tableColumns count="8">
    <tableColumn id="1" xr3:uid="{C10FAE37-28D6-4894-A6C4-C4A6B7517FEC}" name="Customer_ID" dataDxfId="17"/>
    <tableColumn id="2" xr3:uid="{6735992D-2C05-4D32-8D9C-53F21C9737A8}" name="Customer_Name" dataDxfId="16"/>
    <tableColumn id="3" xr3:uid="{33131DE3-7A7F-4788-A861-D2252A5DDD98}" name="Gender" dataDxfId="15"/>
    <tableColumn id="4" xr3:uid="{B4FA54D8-D918-4A18-ACE5-074E9010D0DD}" name="Age" dataDxfId="14"/>
    <tableColumn id="5" xr3:uid="{7F49A2AF-B8F2-4BFC-BAE3-D29DD5DCBD17}" name="Phone" dataDxfId="13"/>
    <tableColumn id="6" xr3:uid="{94FA7CED-1671-4D6C-B25F-B62EF705EB1F}" name="Email" dataDxfId="12" dataCellStyle="Hyperlink"/>
    <tableColumn id="7" xr3:uid="{1A02FA1A-EA20-4EAA-99A0-9815C8B76ED4}" name="City" dataDxfId="11"/>
    <tableColumn id="8" xr3:uid="{6A66A428-7146-463B-9609-E661AEE5438B}" name="Customer_Type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E7069-97C0-4B8C-B193-D2EE4852974F}" name="Product_Master_Table" displayName="Product_Master_Table" ref="A1:G11" totalsRowShown="0" headerRowDxfId="9" dataDxfId="8">
  <autoFilter ref="A1:G11" xr:uid="{055E7069-97C0-4B8C-B193-D2EE4852974F}"/>
  <tableColumns count="7">
    <tableColumn id="1" xr3:uid="{9C64D0F9-E950-4D8C-8F4E-7369BEF66AFA}" name="Product_ID" dataDxfId="7"/>
    <tableColumn id="2" xr3:uid="{B51B8F6A-1D6E-40FB-911C-4794F1C6E3CA}" name="Product_Name" dataDxfId="6"/>
    <tableColumn id="3" xr3:uid="{74BD393B-CDFE-4508-8336-A3E14B40C33B}" name="Category" dataDxfId="5"/>
    <tableColumn id="4" xr3:uid="{14DF39F9-F0F9-44BC-AF11-F96502F08DF7}" name="Unit_Price" dataDxfId="4"/>
    <tableColumn id="5" xr3:uid="{2D9F09B2-18E3-45E6-AE1E-1CB6AC776A36}" name="Stock_Available" dataDxfId="3"/>
    <tableColumn id="6" xr3:uid="{247CEB91-D597-4477-8D3C-ADC4393B5605}" name="Supplier" dataDxfId="2"/>
    <tableColumn id="7" xr3:uid="{885672E5-BE81-4EEA-BDE1-CB2BDBD5728D}" name="Reorder_Leve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neha@gmail.com" TargetMode="External"/><Relationship Id="rId13" Type="http://schemas.openxmlformats.org/officeDocument/2006/relationships/hyperlink" Target="mailto:simran@gmail.com" TargetMode="External"/><Relationship Id="rId18" Type="http://schemas.openxmlformats.org/officeDocument/2006/relationships/hyperlink" Target="mailto:rahul2@gmail.com" TargetMode="External"/><Relationship Id="rId26" Type="http://schemas.openxmlformats.org/officeDocument/2006/relationships/table" Target="../tables/table2.xml"/><Relationship Id="rId3" Type="http://schemas.openxmlformats.org/officeDocument/2006/relationships/hyperlink" Target="mailto:amit@gmail.com" TargetMode="External"/><Relationship Id="rId21" Type="http://schemas.openxmlformats.org/officeDocument/2006/relationships/hyperlink" Target="mailto:pankaj@gmail.com" TargetMode="External"/><Relationship Id="rId7" Type="http://schemas.openxmlformats.org/officeDocument/2006/relationships/hyperlink" Target="mailto:karan@gmail.com" TargetMode="External"/><Relationship Id="rId12" Type="http://schemas.openxmlformats.org/officeDocument/2006/relationships/hyperlink" Target="mailto:vikash@gmail.com" TargetMode="External"/><Relationship Id="rId17" Type="http://schemas.openxmlformats.org/officeDocument/2006/relationships/hyperlink" Target="mailto:nisha@gmail.com" TargetMode="External"/><Relationship Id="rId25" Type="http://schemas.openxmlformats.org/officeDocument/2006/relationships/hyperlink" Target="mailto:saurabh@gmail.com" TargetMode="External"/><Relationship Id="rId2" Type="http://schemas.openxmlformats.org/officeDocument/2006/relationships/hyperlink" Target="mailto:priya@gmail.com" TargetMode="External"/><Relationship Id="rId16" Type="http://schemas.openxmlformats.org/officeDocument/2006/relationships/hyperlink" Target="mailto:aditya@gmail.com" TargetMode="External"/><Relationship Id="rId20" Type="http://schemas.openxmlformats.org/officeDocument/2006/relationships/hyperlink" Target="mailto:manish@gmail.com" TargetMode="External"/><Relationship Id="rId1" Type="http://schemas.openxmlformats.org/officeDocument/2006/relationships/hyperlink" Target="mailto:rahul@gmail.com" TargetMode="External"/><Relationship Id="rId6" Type="http://schemas.openxmlformats.org/officeDocument/2006/relationships/hyperlink" Target="mailto:anjali@gmail.com" TargetMode="External"/><Relationship Id="rId11" Type="http://schemas.openxmlformats.org/officeDocument/2006/relationships/hyperlink" Target="mailto:riya@gmail.com" TargetMode="External"/><Relationship Id="rId24" Type="http://schemas.openxmlformats.org/officeDocument/2006/relationships/hyperlink" Target="mailto:meena@gmail.com" TargetMode="External"/><Relationship Id="rId5" Type="http://schemas.openxmlformats.org/officeDocument/2006/relationships/hyperlink" Target="mailto:rohit@gmail.com" TargetMode="External"/><Relationship Id="rId15" Type="http://schemas.openxmlformats.org/officeDocument/2006/relationships/hyperlink" Target="mailto:kavya@gmail.com" TargetMode="External"/><Relationship Id="rId23" Type="http://schemas.openxmlformats.org/officeDocument/2006/relationships/hyperlink" Target="mailto:deepak@gmail.com" TargetMode="External"/><Relationship Id="rId10" Type="http://schemas.openxmlformats.org/officeDocument/2006/relationships/hyperlink" Target="mailto:pooja@gmail.com" TargetMode="External"/><Relationship Id="rId19" Type="http://schemas.openxmlformats.org/officeDocument/2006/relationships/hyperlink" Target="mailto:tanya@gmail.com" TargetMode="External"/><Relationship Id="rId4" Type="http://schemas.openxmlformats.org/officeDocument/2006/relationships/hyperlink" Target="mailto:neha@gmail.com" TargetMode="External"/><Relationship Id="rId9" Type="http://schemas.openxmlformats.org/officeDocument/2006/relationships/hyperlink" Target="mailto:arjun@gmail.com" TargetMode="External"/><Relationship Id="rId14" Type="http://schemas.openxmlformats.org/officeDocument/2006/relationships/hyperlink" Target="mailto:mohit@gmail.com" TargetMode="External"/><Relationship Id="rId22" Type="http://schemas.openxmlformats.org/officeDocument/2006/relationships/hyperlink" Target="mailto:ayesha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BB9FC-1639-4480-83A7-5227F0DD9E42}">
  <dimension ref="A1:R76"/>
  <sheetViews>
    <sheetView zoomScale="83" workbookViewId="0">
      <selection activeCell="B5" sqref="B5"/>
    </sheetView>
  </sheetViews>
  <sheetFormatPr defaultRowHeight="14.4"/>
  <cols>
    <col min="1" max="1" width="10.21875" customWidth="1"/>
    <col min="2" max="2" width="12.44140625" customWidth="1"/>
    <col min="3" max="3" width="13.5546875" customWidth="1"/>
    <col min="4" max="4" width="12" customWidth="1"/>
    <col min="5" max="5" width="18.88671875" bestFit="1" customWidth="1"/>
    <col min="6" max="6" width="11" bestFit="1" customWidth="1"/>
    <col min="7" max="7" width="9.77734375" customWidth="1"/>
    <col min="8" max="8" width="11.33203125" customWidth="1"/>
    <col min="9" max="9" width="14.5546875" style="20" customWidth="1"/>
    <col min="10" max="10" width="14.109375" customWidth="1"/>
    <col min="11" max="11" width="14.44140625" customWidth="1"/>
    <col min="12" max="12" width="14" customWidth="1"/>
    <col min="13" max="13" width="14.44140625" customWidth="1"/>
    <col min="14" max="14" width="14.33203125" customWidth="1"/>
    <col min="15" max="15" width="15.109375" customWidth="1"/>
    <col min="16" max="16" width="14.88671875" customWidth="1"/>
    <col min="17" max="17" width="17.21875" customWidth="1"/>
    <col min="18" max="18" width="16.44140625" customWidth="1"/>
  </cols>
  <sheetData>
    <row r="1" spans="1:18" ht="15" thickBot="1">
      <c r="A1" s="17" t="s">
        <v>0</v>
      </c>
      <c r="B1" s="6" t="s">
        <v>1</v>
      </c>
      <c r="C1" s="6" t="s">
        <v>2</v>
      </c>
      <c r="D1" s="6" t="s">
        <v>3</v>
      </c>
      <c r="E1" s="6" t="s">
        <v>16</v>
      </c>
      <c r="F1" s="6" t="s">
        <v>5</v>
      </c>
      <c r="G1" s="6" t="s">
        <v>6</v>
      </c>
      <c r="H1" s="6" t="s">
        <v>7</v>
      </c>
      <c r="I1" s="19" t="s">
        <v>8</v>
      </c>
      <c r="J1" s="6" t="s">
        <v>17</v>
      </c>
      <c r="K1" s="6" t="s">
        <v>18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15" t="s">
        <v>212</v>
      </c>
      <c r="R1" t="s">
        <v>213</v>
      </c>
    </row>
    <row r="2" spans="1:18" ht="15" thickBot="1">
      <c r="A2" s="17" t="s">
        <v>19</v>
      </c>
      <c r="B2" s="8">
        <v>45200</v>
      </c>
      <c r="C2" s="6" t="s">
        <v>20</v>
      </c>
      <c r="D2" s="6" t="s">
        <v>21</v>
      </c>
      <c r="E2" s="6" t="str">
        <f>_xlfn.XLOOKUP(D2,Product_Master_Table[Product_ID],Product_Master_Table[Product_Name],"Not Found")</f>
        <v>Laptop</v>
      </c>
      <c r="F2" s="6" t="str">
        <f>_xlfn.XLOOKUP(D2,Product_Master_Table[Product_ID],Product_Master_Table[Category],"Not Found")</f>
        <v>Electronics</v>
      </c>
      <c r="G2" s="6">
        <v>1</v>
      </c>
      <c r="H2" s="6">
        <f>_xlfn.XLOOKUP(D2,Product_Master_Table[Product_ID],Product_Master_Table[Unit_Price],"Not Found")</f>
        <v>1200</v>
      </c>
      <c r="I2" s="19">
        <f>H2*G2</f>
        <v>1200</v>
      </c>
      <c r="J2" s="6" t="s">
        <v>23</v>
      </c>
      <c r="K2" s="6" t="s">
        <v>24</v>
      </c>
      <c r="L2" s="6" t="s">
        <v>25</v>
      </c>
      <c r="M2" s="6" t="s">
        <v>26</v>
      </c>
      <c r="N2" s="8">
        <v>45204</v>
      </c>
      <c r="O2" s="6" t="s">
        <v>27</v>
      </c>
      <c r="P2" s="6" t="s">
        <v>28</v>
      </c>
      <c r="Q2" t="str">
        <f>IF(COUNTIF(Customer_Master_Table[Customer_ID],C2)&gt;0,"Valid","Invalid")</f>
        <v>Valid</v>
      </c>
      <c r="R2" t="str">
        <f>IF(COUNTIF(A2,A2)&gt;1,"Duplicate","Unique")</f>
        <v>Unique</v>
      </c>
    </row>
    <row r="3" spans="1:18" ht="15" thickBot="1">
      <c r="A3" s="17" t="s">
        <v>29</v>
      </c>
      <c r="B3" s="8">
        <v>45200</v>
      </c>
      <c r="C3" s="6" t="s">
        <v>30</v>
      </c>
      <c r="D3" s="6" t="s">
        <v>31</v>
      </c>
      <c r="E3" s="6" t="str">
        <f>_xlfn.XLOOKUP(D3,Product_Master_Table[Product_ID],Product_Master_Table[Product_Name],"Not Found")</f>
        <v>Wireless Mouse</v>
      </c>
      <c r="F3" s="6" t="str">
        <f>_xlfn.XLOOKUP(D3,Product_Master_Table[Product_ID],Product_Master_Table[Category],"Not Found")</f>
        <v>Accessories</v>
      </c>
      <c r="G3" s="6">
        <v>2</v>
      </c>
      <c r="H3" s="6">
        <f>_xlfn.XLOOKUP(D3,Product_Master_Table[Product_ID],Product_Master_Table[Unit_Price],"Not Found")</f>
        <v>25</v>
      </c>
      <c r="I3" s="19">
        <f t="shared" ref="I3:I51" si="0">H3*G3</f>
        <v>50</v>
      </c>
      <c r="J3" s="6" t="s">
        <v>33</v>
      </c>
      <c r="K3" s="6" t="s">
        <v>24</v>
      </c>
      <c r="L3" s="6" t="s">
        <v>25</v>
      </c>
      <c r="M3" s="6" t="s">
        <v>34</v>
      </c>
      <c r="N3" s="8">
        <v>45203</v>
      </c>
      <c r="O3" s="6" t="s">
        <v>27</v>
      </c>
      <c r="P3" s="6" t="s">
        <v>35</v>
      </c>
      <c r="Q3" t="str">
        <f>IF(COUNTIF(Customer_Master_Table[Customer_ID],C3)&gt;0,"Valid","Invalid")</f>
        <v>Valid</v>
      </c>
      <c r="R3" t="str">
        <f t="shared" ref="R3:R51" si="1">IF(COUNTIF(A3,A3)&gt;1,"Duplicate","Unique")</f>
        <v>Unique</v>
      </c>
    </row>
    <row r="4" spans="1:18" ht="15" thickBot="1">
      <c r="A4" s="17" t="s">
        <v>36</v>
      </c>
      <c r="B4" s="8">
        <v>45201</v>
      </c>
      <c r="C4" s="6" t="s">
        <v>37</v>
      </c>
      <c r="D4" s="6" t="s">
        <v>38</v>
      </c>
      <c r="E4" s="6" t="str">
        <f>_xlfn.XLOOKUP(D4,Product_Master_Table[Product_ID],Product_Master_Table[Product_Name],"Not Found")</f>
        <v>Office Chair</v>
      </c>
      <c r="F4" s="6" t="str">
        <f>_xlfn.XLOOKUP(D4,Product_Master_Table[Product_ID],Product_Master_Table[Category],"Not Found")</f>
        <v>Furniture</v>
      </c>
      <c r="G4" s="6">
        <v>1</v>
      </c>
      <c r="H4" s="6">
        <f>_xlfn.XLOOKUP(D4,Product_Master_Table[Product_ID],Product_Master_Table[Unit_Price],"Not Found")</f>
        <v>150</v>
      </c>
      <c r="I4" s="19">
        <f t="shared" si="0"/>
        <v>150</v>
      </c>
      <c r="J4" s="6" t="s">
        <v>41</v>
      </c>
      <c r="K4" s="6" t="s">
        <v>24</v>
      </c>
      <c r="L4" s="6" t="s">
        <v>42</v>
      </c>
      <c r="M4" s="6" t="s">
        <v>43</v>
      </c>
      <c r="N4" s="8">
        <v>45207</v>
      </c>
      <c r="O4" s="6" t="s">
        <v>44</v>
      </c>
      <c r="P4" s="6" t="s">
        <v>45</v>
      </c>
      <c r="Q4" t="str">
        <f>IF(COUNTIF(Customer_Master_Table[Customer_ID],C4)&gt;0,"Valid","Invalid")</f>
        <v>Valid</v>
      </c>
      <c r="R4" t="str">
        <f t="shared" si="1"/>
        <v>Unique</v>
      </c>
    </row>
    <row r="5" spans="1:18" ht="15" thickBot="1">
      <c r="A5" s="17" t="s">
        <v>46</v>
      </c>
      <c r="B5" s="8">
        <v>45201</v>
      </c>
      <c r="C5" s="6" t="s">
        <v>47</v>
      </c>
      <c r="D5" s="6" t="s">
        <v>48</v>
      </c>
      <c r="E5" s="6" t="str">
        <f>_xlfn.XLOOKUP(D5,Product_Master_Table[Product_ID],Product_Master_Table[Product_Name],"Not Found")</f>
        <v>Monitor</v>
      </c>
      <c r="F5" s="6" t="str">
        <f>_xlfn.XLOOKUP(D5,Product_Master_Table[Product_ID],Product_Master_Table[Category],"Not Found")</f>
        <v>Electronics</v>
      </c>
      <c r="G5" s="6">
        <v>2</v>
      </c>
      <c r="H5" s="6">
        <f>_xlfn.XLOOKUP(D5,Product_Master_Table[Product_ID],Product_Master_Table[Unit_Price],"Not Found")</f>
        <v>300</v>
      </c>
      <c r="I5" s="19">
        <f t="shared" si="0"/>
        <v>600</v>
      </c>
      <c r="J5" s="6" t="s">
        <v>23</v>
      </c>
      <c r="K5" s="6" t="s">
        <v>50</v>
      </c>
      <c r="L5" s="6" t="s">
        <v>51</v>
      </c>
      <c r="M5" s="6" t="s">
        <v>52</v>
      </c>
      <c r="N5" s="8">
        <v>45208</v>
      </c>
      <c r="O5" s="6" t="s">
        <v>27</v>
      </c>
      <c r="P5" s="6" t="s">
        <v>28</v>
      </c>
      <c r="Q5" t="str">
        <f>IF(COUNTIF(Customer_Master_Table[Customer_ID],C5)&gt;0,"Valid","Invalid")</f>
        <v>Valid</v>
      </c>
      <c r="R5" t="str">
        <f t="shared" si="1"/>
        <v>Unique</v>
      </c>
    </row>
    <row r="6" spans="1:18" ht="15" thickBot="1">
      <c r="A6" s="17" t="s">
        <v>53</v>
      </c>
      <c r="B6" s="8">
        <v>45202</v>
      </c>
      <c r="C6" s="6" t="s">
        <v>54</v>
      </c>
      <c r="D6" s="6" t="s">
        <v>55</v>
      </c>
      <c r="E6" s="6" t="str">
        <f>_xlfn.XLOOKUP(D6,Product_Master_Table[Product_ID],Product_Master_Table[Product_Name],"Not Found")</f>
        <v>Mechanical Keyboard</v>
      </c>
      <c r="F6" s="6" t="str">
        <f>_xlfn.XLOOKUP(D6,Product_Master_Table[Product_ID],Product_Master_Table[Category],"Not Found")</f>
        <v>Accessories</v>
      </c>
      <c r="G6" s="6">
        <v>1</v>
      </c>
      <c r="H6" s="6">
        <f>_xlfn.XLOOKUP(D6,Product_Master_Table[Product_ID],Product_Master_Table[Unit_Price],"Not Found")</f>
        <v>85</v>
      </c>
      <c r="I6" s="19">
        <f t="shared" si="0"/>
        <v>85</v>
      </c>
      <c r="J6" s="6" t="s">
        <v>33</v>
      </c>
      <c r="K6" s="6" t="s">
        <v>24</v>
      </c>
      <c r="L6" s="6" t="s">
        <v>25</v>
      </c>
      <c r="M6" s="6" t="s">
        <v>57</v>
      </c>
      <c r="N6" s="8">
        <v>45205</v>
      </c>
      <c r="O6" s="6" t="s">
        <v>58</v>
      </c>
      <c r="P6" s="6" t="s">
        <v>59</v>
      </c>
      <c r="Q6" t="str">
        <f>IF(COUNTIF(Customer_Master_Table[Customer_ID],C6)&gt;0,"Valid","Invalid")</f>
        <v>Valid</v>
      </c>
      <c r="R6" t="str">
        <f t="shared" si="1"/>
        <v>Unique</v>
      </c>
    </row>
    <row r="7" spans="1:18" ht="15" thickBot="1">
      <c r="A7" s="17" t="s">
        <v>60</v>
      </c>
      <c r="B7" s="8">
        <v>45202</v>
      </c>
      <c r="C7" s="6" t="s">
        <v>61</v>
      </c>
      <c r="D7" s="6" t="s">
        <v>62</v>
      </c>
      <c r="E7" s="6" t="str">
        <f>_xlfn.XLOOKUP(D7,Product_Master_Table[Product_ID],Product_Master_Table[Product_Name],"Not Found")</f>
        <v>Standing Desk</v>
      </c>
      <c r="F7" s="6" t="str">
        <f>_xlfn.XLOOKUP(D7,Product_Master_Table[Product_ID],Product_Master_Table[Category],"Not Found")</f>
        <v>Furniture</v>
      </c>
      <c r="G7" s="6">
        <v>1</v>
      </c>
      <c r="H7" s="6">
        <f>_xlfn.XLOOKUP(D7,Product_Master_Table[Product_ID],Product_Master_Table[Unit_Price],"Not Found")</f>
        <v>450</v>
      </c>
      <c r="I7" s="19">
        <f t="shared" si="0"/>
        <v>450</v>
      </c>
      <c r="J7" s="6" t="s">
        <v>23</v>
      </c>
      <c r="K7" s="6" t="s">
        <v>24</v>
      </c>
      <c r="L7" s="6" t="s">
        <v>42</v>
      </c>
      <c r="M7" s="6" t="s">
        <v>64</v>
      </c>
      <c r="N7" s="8">
        <v>45209</v>
      </c>
      <c r="O7" s="6" t="s">
        <v>27</v>
      </c>
      <c r="P7" s="6" t="s">
        <v>35</v>
      </c>
      <c r="Q7" t="str">
        <f>IF(COUNTIF(Customer_Master_Table[Customer_ID],C7)&gt;0,"Valid","Invalid")</f>
        <v>Valid</v>
      </c>
      <c r="R7" t="str">
        <f t="shared" si="1"/>
        <v>Unique</v>
      </c>
    </row>
    <row r="8" spans="1:18" ht="15" thickBot="1">
      <c r="A8" s="17" t="s">
        <v>65</v>
      </c>
      <c r="B8" s="8">
        <v>45203</v>
      </c>
      <c r="C8" s="6" t="s">
        <v>66</v>
      </c>
      <c r="D8" s="6" t="s">
        <v>67</v>
      </c>
      <c r="E8" s="6" t="str">
        <f>_xlfn.XLOOKUP(D8,Product_Master_Table[Product_ID],Product_Master_Table[Product_Name],"Not Found")</f>
        <v>Smartphone</v>
      </c>
      <c r="F8" s="6" t="str">
        <f>_xlfn.XLOOKUP(D8,Product_Master_Table[Product_ID],Product_Master_Table[Category],"Not Found")</f>
        <v>Electronics</v>
      </c>
      <c r="G8" s="6">
        <v>1</v>
      </c>
      <c r="H8" s="6">
        <f>_xlfn.XLOOKUP(D8,Product_Master_Table[Product_ID],Product_Master_Table[Unit_Price],"Not Found")</f>
        <v>800</v>
      </c>
      <c r="I8" s="19">
        <f t="shared" si="0"/>
        <v>800</v>
      </c>
      <c r="J8" s="6" t="s">
        <v>69</v>
      </c>
      <c r="K8" s="6" t="s">
        <v>24</v>
      </c>
      <c r="L8" s="6" t="s">
        <v>25</v>
      </c>
      <c r="M8" s="6" t="s">
        <v>70</v>
      </c>
      <c r="N8" s="8">
        <v>45205</v>
      </c>
      <c r="O8" s="6" t="s">
        <v>44</v>
      </c>
      <c r="P8" s="6" t="s">
        <v>45</v>
      </c>
      <c r="Q8" t="str">
        <f>IF(COUNTIF(Customer_Master_Table[Customer_ID],C8)&gt;0,"Valid","Invalid")</f>
        <v>Valid</v>
      </c>
      <c r="R8" t="str">
        <f t="shared" si="1"/>
        <v>Unique</v>
      </c>
    </row>
    <row r="9" spans="1:18" ht="15" thickBot="1">
      <c r="A9" s="17" t="s">
        <v>71</v>
      </c>
      <c r="B9" s="8">
        <v>45203</v>
      </c>
      <c r="C9" s="6" t="s">
        <v>72</v>
      </c>
      <c r="D9" s="6" t="s">
        <v>73</v>
      </c>
      <c r="E9" s="6" t="str">
        <f>_xlfn.XLOOKUP(D9,Product_Master_Table[Product_ID],Product_Master_Table[Product_Name],"Not Found")</f>
        <v>Headphones</v>
      </c>
      <c r="F9" s="6" t="str">
        <f>_xlfn.XLOOKUP(D9,Product_Master_Table[Product_ID],Product_Master_Table[Category],"Not Found")</f>
        <v>Accessories</v>
      </c>
      <c r="G9" s="6">
        <v>3</v>
      </c>
      <c r="H9" s="6">
        <f>_xlfn.XLOOKUP(D9,Product_Master_Table[Product_ID],Product_Master_Table[Unit_Price],"Not Found")</f>
        <v>120</v>
      </c>
      <c r="I9" s="19">
        <f t="shared" si="0"/>
        <v>360</v>
      </c>
      <c r="J9" s="6" t="s">
        <v>23</v>
      </c>
      <c r="K9" s="6" t="s">
        <v>75</v>
      </c>
      <c r="L9" s="6" t="s">
        <v>76</v>
      </c>
      <c r="M9" s="6" t="s">
        <v>77</v>
      </c>
      <c r="N9" s="6" t="s">
        <v>78</v>
      </c>
      <c r="O9" s="6" t="s">
        <v>27</v>
      </c>
      <c r="P9" s="6" t="s">
        <v>28</v>
      </c>
      <c r="Q9" t="str">
        <f>IF(COUNTIF(Customer_Master_Table[Customer_ID],C9)&gt;0,"Valid","Invalid")</f>
        <v>Valid</v>
      </c>
      <c r="R9" t="str">
        <f t="shared" si="1"/>
        <v>Unique</v>
      </c>
    </row>
    <row r="10" spans="1:18" ht="15" thickBot="1">
      <c r="A10" s="17" t="s">
        <v>79</v>
      </c>
      <c r="B10" s="8">
        <v>45204</v>
      </c>
      <c r="C10" s="6" t="s">
        <v>80</v>
      </c>
      <c r="D10" s="6" t="s">
        <v>81</v>
      </c>
      <c r="E10" s="6" t="str">
        <f>_xlfn.XLOOKUP(D10,Product_Master_Table[Product_ID],Product_Master_Table[Product_Name],"Not Found")</f>
        <v>Tablet</v>
      </c>
      <c r="F10" s="6" t="str">
        <f>_xlfn.XLOOKUP(D10,Product_Master_Table[Product_ID],Product_Master_Table[Category],"Not Found")</f>
        <v>Electronics</v>
      </c>
      <c r="G10" s="6">
        <v>2</v>
      </c>
      <c r="H10" s="6">
        <f>_xlfn.XLOOKUP(D10,Product_Master_Table[Product_ID],Product_Master_Table[Unit_Price],"Not Found")</f>
        <v>400</v>
      </c>
      <c r="I10" s="19">
        <f t="shared" si="0"/>
        <v>800</v>
      </c>
      <c r="J10" s="6" t="s">
        <v>33</v>
      </c>
      <c r="K10" s="6" t="s">
        <v>24</v>
      </c>
      <c r="L10" s="6" t="s">
        <v>51</v>
      </c>
      <c r="M10" s="6" t="s">
        <v>83</v>
      </c>
      <c r="N10" s="8">
        <v>45211</v>
      </c>
      <c r="O10" s="6" t="s">
        <v>58</v>
      </c>
      <c r="P10" s="6" t="s">
        <v>59</v>
      </c>
      <c r="Q10" t="str">
        <f>IF(COUNTIF(Customer_Master_Table[Customer_ID],C10)&gt;0,"Valid","Invalid")</f>
        <v>Valid</v>
      </c>
      <c r="R10" t="str">
        <f t="shared" si="1"/>
        <v>Unique</v>
      </c>
    </row>
    <row r="11" spans="1:18" ht="15" thickBot="1">
      <c r="A11" s="17" t="s">
        <v>84</v>
      </c>
      <c r="B11" s="8">
        <v>45204</v>
      </c>
      <c r="C11" s="6" t="s">
        <v>85</v>
      </c>
      <c r="D11" s="6" t="s">
        <v>86</v>
      </c>
      <c r="E11" s="6" t="str">
        <f>_xlfn.XLOOKUP(D11,Product_Master_Table[Product_ID],Product_Master_Table[Product_Name],"Not Found")</f>
        <v>Desk Lamp</v>
      </c>
      <c r="F11" s="6" t="str">
        <f>_xlfn.XLOOKUP(D11,Product_Master_Table[Product_ID],Product_Master_Table[Category],"Not Found")</f>
        <v>Furniture</v>
      </c>
      <c r="G11" s="6">
        <v>1</v>
      </c>
      <c r="H11" s="6">
        <f>_xlfn.XLOOKUP(D11,Product_Master_Table[Product_ID],Product_Master_Table[Unit_Price],"Not Found")</f>
        <v>45</v>
      </c>
      <c r="I11" s="19">
        <f t="shared" si="0"/>
        <v>45</v>
      </c>
      <c r="J11" s="6" t="s">
        <v>41</v>
      </c>
      <c r="K11" s="6" t="s">
        <v>24</v>
      </c>
      <c r="L11" s="6" t="s">
        <v>42</v>
      </c>
      <c r="M11" s="6" t="s">
        <v>88</v>
      </c>
      <c r="N11" s="8">
        <v>45210</v>
      </c>
      <c r="O11" s="6" t="s">
        <v>27</v>
      </c>
      <c r="P11" s="6" t="s">
        <v>35</v>
      </c>
      <c r="Q11" t="str">
        <f>IF(COUNTIF(Customer_Master_Table[Customer_ID],C11)&gt;0,"Valid","Invalid")</f>
        <v>Valid</v>
      </c>
      <c r="R11" t="str">
        <f t="shared" si="1"/>
        <v>Unique</v>
      </c>
    </row>
    <row r="12" spans="1:18" ht="15" thickBot="1">
      <c r="A12" s="17" t="s">
        <v>89</v>
      </c>
      <c r="B12" s="8">
        <v>45205</v>
      </c>
      <c r="C12" s="6" t="s">
        <v>90</v>
      </c>
      <c r="D12" s="6" t="s">
        <v>21</v>
      </c>
      <c r="E12" s="6" t="str">
        <f>_xlfn.XLOOKUP(D12,Product_Master_Table[Product_ID],Product_Master_Table[Product_Name],"Not Found")</f>
        <v>Laptop</v>
      </c>
      <c r="F12" s="6" t="str">
        <f>_xlfn.XLOOKUP(D12,Product_Master_Table[Product_ID],Product_Master_Table[Category],"Not Found")</f>
        <v>Electronics</v>
      </c>
      <c r="G12" s="6">
        <v>1</v>
      </c>
      <c r="H12" s="6">
        <f>_xlfn.XLOOKUP(D12,Product_Master_Table[Product_ID],Product_Master_Table[Unit_Price],"Not Found")</f>
        <v>1200</v>
      </c>
      <c r="I12" s="19">
        <f t="shared" si="0"/>
        <v>1200</v>
      </c>
      <c r="J12" s="6" t="s">
        <v>23</v>
      </c>
      <c r="K12" s="6" t="s">
        <v>24</v>
      </c>
      <c r="L12" s="6" t="s">
        <v>51</v>
      </c>
      <c r="M12" s="6" t="s">
        <v>26</v>
      </c>
      <c r="N12" s="8">
        <v>45211</v>
      </c>
      <c r="O12" s="6" t="s">
        <v>27</v>
      </c>
      <c r="P12" s="6" t="s">
        <v>45</v>
      </c>
      <c r="Q12" t="str">
        <f>IF(COUNTIF(Customer_Master_Table[Customer_ID],C12)&gt;0,"Valid","Invalid")</f>
        <v>Valid</v>
      </c>
      <c r="R12" t="str">
        <f t="shared" si="1"/>
        <v>Unique</v>
      </c>
    </row>
    <row r="13" spans="1:18" ht="15" thickBot="1">
      <c r="A13" s="17" t="s">
        <v>91</v>
      </c>
      <c r="B13" s="8">
        <v>45205</v>
      </c>
      <c r="C13" s="6" t="s">
        <v>92</v>
      </c>
      <c r="D13" s="6" t="s">
        <v>31</v>
      </c>
      <c r="E13" s="6" t="str">
        <f>_xlfn.XLOOKUP(D13,Product_Master_Table[Product_ID],Product_Master_Table[Product_Name],"Not Found")</f>
        <v>Wireless Mouse</v>
      </c>
      <c r="F13" s="6" t="str">
        <f>_xlfn.XLOOKUP(D13,Product_Master_Table[Product_ID],Product_Master_Table[Category],"Not Found")</f>
        <v>Accessories</v>
      </c>
      <c r="G13" s="6">
        <v>1</v>
      </c>
      <c r="H13" s="6">
        <f>_xlfn.XLOOKUP(D13,Product_Master_Table[Product_ID],Product_Master_Table[Unit_Price],"Not Found")</f>
        <v>25</v>
      </c>
      <c r="I13" s="19">
        <f t="shared" si="0"/>
        <v>25</v>
      </c>
      <c r="J13" s="6" t="s">
        <v>33</v>
      </c>
      <c r="K13" s="6" t="s">
        <v>24</v>
      </c>
      <c r="L13" s="6" t="s">
        <v>25</v>
      </c>
      <c r="M13" s="6" t="s">
        <v>34</v>
      </c>
      <c r="N13" s="8">
        <v>45208</v>
      </c>
      <c r="O13" s="6" t="s">
        <v>58</v>
      </c>
      <c r="P13" s="6" t="s">
        <v>28</v>
      </c>
      <c r="Q13" t="str">
        <f>IF(COUNTIF(Customer_Master_Table[Customer_ID],C13)&gt;0,"Valid","Invalid")</f>
        <v>Valid</v>
      </c>
      <c r="R13" t="str">
        <f t="shared" si="1"/>
        <v>Unique</v>
      </c>
    </row>
    <row r="14" spans="1:18" ht="15" thickBot="1">
      <c r="A14" s="17" t="s">
        <v>93</v>
      </c>
      <c r="B14" s="8">
        <v>45206</v>
      </c>
      <c r="C14" s="6" t="s">
        <v>94</v>
      </c>
      <c r="D14" s="6" t="s">
        <v>38</v>
      </c>
      <c r="E14" s="6" t="str">
        <f>_xlfn.XLOOKUP(D14,Product_Master_Table[Product_ID],Product_Master_Table[Product_Name],"Not Found")</f>
        <v>Office Chair</v>
      </c>
      <c r="F14" s="6" t="str">
        <f>_xlfn.XLOOKUP(D14,Product_Master_Table[Product_ID],Product_Master_Table[Category],"Not Found")</f>
        <v>Furniture</v>
      </c>
      <c r="G14" s="6">
        <v>4</v>
      </c>
      <c r="H14" s="6">
        <f>_xlfn.XLOOKUP(D14,Product_Master_Table[Product_ID],Product_Master_Table[Unit_Price],"Not Found")</f>
        <v>150</v>
      </c>
      <c r="I14" s="19">
        <f t="shared" si="0"/>
        <v>600</v>
      </c>
      <c r="J14" s="6" t="s">
        <v>95</v>
      </c>
      <c r="K14" s="6" t="s">
        <v>50</v>
      </c>
      <c r="L14" s="6" t="s">
        <v>51</v>
      </c>
      <c r="M14" s="6" t="s">
        <v>43</v>
      </c>
      <c r="N14" s="8">
        <v>45214</v>
      </c>
      <c r="O14" s="6" t="s">
        <v>96</v>
      </c>
      <c r="P14" s="6" t="s">
        <v>59</v>
      </c>
      <c r="Q14" t="str">
        <f>IF(COUNTIF(Customer_Master_Table[Customer_ID],C14)&gt;0,"Valid","Invalid")</f>
        <v>Valid</v>
      </c>
      <c r="R14" t="str">
        <f t="shared" si="1"/>
        <v>Unique</v>
      </c>
    </row>
    <row r="15" spans="1:18" ht="15" thickBot="1">
      <c r="A15" s="17" t="s">
        <v>97</v>
      </c>
      <c r="B15" s="8">
        <v>45206</v>
      </c>
      <c r="C15" s="6" t="s">
        <v>98</v>
      </c>
      <c r="D15" s="6" t="s">
        <v>48</v>
      </c>
      <c r="E15" s="6" t="str">
        <f>_xlfn.XLOOKUP(D15,Product_Master_Table[Product_ID],Product_Master_Table[Product_Name],"Not Found")</f>
        <v>Monitor</v>
      </c>
      <c r="F15" s="6" t="str">
        <f>_xlfn.XLOOKUP(D15,Product_Master_Table[Product_ID],Product_Master_Table[Category],"Not Found")</f>
        <v>Electronics</v>
      </c>
      <c r="G15" s="6">
        <v>1</v>
      </c>
      <c r="H15" s="6">
        <f>_xlfn.XLOOKUP(D15,Product_Master_Table[Product_ID],Product_Master_Table[Unit_Price],"Not Found")</f>
        <v>300</v>
      </c>
      <c r="I15" s="19">
        <f t="shared" si="0"/>
        <v>300</v>
      </c>
      <c r="J15" s="6" t="s">
        <v>23</v>
      </c>
      <c r="K15" s="6" t="s">
        <v>24</v>
      </c>
      <c r="L15" s="6" t="s">
        <v>42</v>
      </c>
      <c r="M15" s="6" t="s">
        <v>52</v>
      </c>
      <c r="N15" s="8">
        <v>45211</v>
      </c>
      <c r="O15" s="6" t="s">
        <v>27</v>
      </c>
      <c r="P15" s="6" t="s">
        <v>35</v>
      </c>
      <c r="Q15" t="str">
        <f>IF(COUNTIF(Customer_Master_Table[Customer_ID],C15)&gt;0,"Valid","Invalid")</f>
        <v>Valid</v>
      </c>
      <c r="R15" t="str">
        <f t="shared" si="1"/>
        <v>Unique</v>
      </c>
    </row>
    <row r="16" spans="1:18" ht="15" thickBot="1">
      <c r="A16" s="17" t="s">
        <v>99</v>
      </c>
      <c r="B16" s="8">
        <v>45207</v>
      </c>
      <c r="C16" s="6" t="s">
        <v>100</v>
      </c>
      <c r="D16" s="6" t="s">
        <v>55</v>
      </c>
      <c r="E16" s="6" t="str">
        <f>_xlfn.XLOOKUP(D16,Product_Master_Table[Product_ID],Product_Master_Table[Product_Name],"Not Found")</f>
        <v>Mechanical Keyboard</v>
      </c>
      <c r="F16" s="6" t="str">
        <f>_xlfn.XLOOKUP(D16,Product_Master_Table[Product_ID],Product_Master_Table[Category],"Not Found")</f>
        <v>Accessories</v>
      </c>
      <c r="G16" s="6">
        <v>2</v>
      </c>
      <c r="H16" s="6">
        <f>_xlfn.XLOOKUP(D16,Product_Master_Table[Product_ID],Product_Master_Table[Unit_Price],"Not Found")</f>
        <v>85</v>
      </c>
      <c r="I16" s="19">
        <f t="shared" si="0"/>
        <v>170</v>
      </c>
      <c r="J16" s="6" t="s">
        <v>33</v>
      </c>
      <c r="K16" s="6" t="s">
        <v>24</v>
      </c>
      <c r="L16" s="6" t="s">
        <v>25</v>
      </c>
      <c r="M16" s="6" t="s">
        <v>57</v>
      </c>
      <c r="N16" s="8">
        <v>45210</v>
      </c>
      <c r="O16" s="6" t="s">
        <v>58</v>
      </c>
      <c r="P16" s="6" t="s">
        <v>45</v>
      </c>
      <c r="Q16" t="str">
        <f>IF(COUNTIF(Customer_Master_Table[Customer_ID],C16)&gt;0,"Valid","Invalid")</f>
        <v>Valid</v>
      </c>
      <c r="R16" t="str">
        <f t="shared" si="1"/>
        <v>Unique</v>
      </c>
    </row>
    <row r="17" spans="1:18" ht="15" thickBot="1">
      <c r="A17" s="17" t="s">
        <v>101</v>
      </c>
      <c r="B17" s="8">
        <v>45207</v>
      </c>
      <c r="C17" s="6" t="s">
        <v>102</v>
      </c>
      <c r="D17" s="6" t="s">
        <v>62</v>
      </c>
      <c r="E17" s="6" t="str">
        <f>_xlfn.XLOOKUP(D17,Product_Master_Table[Product_ID],Product_Master_Table[Product_Name],"Not Found")</f>
        <v>Standing Desk</v>
      </c>
      <c r="F17" s="6" t="str">
        <f>_xlfn.XLOOKUP(D17,Product_Master_Table[Product_ID],Product_Master_Table[Category],"Not Found")</f>
        <v>Furniture</v>
      </c>
      <c r="G17" s="6">
        <v>1</v>
      </c>
      <c r="H17" s="6">
        <f>_xlfn.XLOOKUP(D17,Product_Master_Table[Product_ID],Product_Master_Table[Unit_Price],"Not Found")</f>
        <v>450</v>
      </c>
      <c r="I17" s="19">
        <f t="shared" si="0"/>
        <v>450</v>
      </c>
      <c r="J17" s="6" t="s">
        <v>23</v>
      </c>
      <c r="K17" s="6" t="s">
        <v>24</v>
      </c>
      <c r="L17" s="6" t="s">
        <v>25</v>
      </c>
      <c r="M17" s="6" t="s">
        <v>64</v>
      </c>
      <c r="N17" s="8">
        <v>45213</v>
      </c>
      <c r="O17" s="6" t="s">
        <v>27</v>
      </c>
      <c r="P17" s="6" t="s">
        <v>28</v>
      </c>
      <c r="Q17" t="str">
        <f>IF(COUNTIF(Customer_Master_Table[Customer_ID],C17)&gt;0,"Valid","Invalid")</f>
        <v>Valid</v>
      </c>
      <c r="R17" t="str">
        <f t="shared" si="1"/>
        <v>Unique</v>
      </c>
    </row>
    <row r="18" spans="1:18" ht="15" thickBot="1">
      <c r="A18" s="17" t="s">
        <v>103</v>
      </c>
      <c r="B18" s="8">
        <v>45208</v>
      </c>
      <c r="C18" s="6" t="s">
        <v>104</v>
      </c>
      <c r="D18" s="6" t="s">
        <v>67</v>
      </c>
      <c r="E18" s="6" t="str">
        <f>_xlfn.XLOOKUP(D18,Product_Master_Table[Product_ID],Product_Master_Table[Product_Name],"Not Found")</f>
        <v>Smartphone</v>
      </c>
      <c r="F18" s="6" t="str">
        <f>_xlfn.XLOOKUP(D18,Product_Master_Table[Product_ID],Product_Master_Table[Category],"Not Found")</f>
        <v>Electronics</v>
      </c>
      <c r="G18" s="6">
        <v>2</v>
      </c>
      <c r="H18" s="6">
        <f>_xlfn.XLOOKUP(D18,Product_Master_Table[Product_ID],Product_Master_Table[Unit_Price],"Not Found")</f>
        <v>800</v>
      </c>
      <c r="I18" s="19">
        <f t="shared" si="0"/>
        <v>1600</v>
      </c>
      <c r="J18" s="6" t="s">
        <v>41</v>
      </c>
      <c r="K18" s="6" t="s">
        <v>24</v>
      </c>
      <c r="L18" s="6" t="s">
        <v>51</v>
      </c>
      <c r="M18" s="6" t="s">
        <v>70</v>
      </c>
      <c r="N18" s="8">
        <v>45215</v>
      </c>
      <c r="O18" s="6" t="s">
        <v>44</v>
      </c>
      <c r="P18" s="6" t="s">
        <v>59</v>
      </c>
      <c r="Q18" t="str">
        <f>IF(COUNTIF(Customer_Master_Table[Customer_ID],C18)&gt;0,"Valid","Invalid")</f>
        <v>Valid</v>
      </c>
      <c r="R18" t="str">
        <f t="shared" si="1"/>
        <v>Unique</v>
      </c>
    </row>
    <row r="19" spans="1:18" ht="15" thickBot="1">
      <c r="A19" s="17" t="s">
        <v>105</v>
      </c>
      <c r="B19" s="8">
        <v>45208</v>
      </c>
      <c r="C19" s="6" t="s">
        <v>106</v>
      </c>
      <c r="D19" s="6" t="s">
        <v>73</v>
      </c>
      <c r="E19" s="6" t="str">
        <f>_xlfn.XLOOKUP(D19,Product_Master_Table[Product_ID],Product_Master_Table[Product_Name],"Not Found")</f>
        <v>Headphones</v>
      </c>
      <c r="F19" s="6" t="str">
        <f>_xlfn.XLOOKUP(D19,Product_Master_Table[Product_ID],Product_Master_Table[Category],"Not Found")</f>
        <v>Accessories</v>
      </c>
      <c r="G19" s="6">
        <v>1</v>
      </c>
      <c r="H19" s="6">
        <f>_xlfn.XLOOKUP(D19,Product_Master_Table[Product_ID],Product_Master_Table[Unit_Price],"Not Found")</f>
        <v>120</v>
      </c>
      <c r="I19" s="19">
        <f t="shared" si="0"/>
        <v>120</v>
      </c>
      <c r="J19" s="6" t="s">
        <v>23</v>
      </c>
      <c r="K19" s="6" t="s">
        <v>24</v>
      </c>
      <c r="L19" s="6" t="s">
        <v>42</v>
      </c>
      <c r="M19" s="6" t="s">
        <v>77</v>
      </c>
      <c r="N19" s="8">
        <v>45212</v>
      </c>
      <c r="O19" s="6" t="s">
        <v>27</v>
      </c>
      <c r="P19" s="6" t="s">
        <v>35</v>
      </c>
      <c r="Q19" t="str">
        <f>IF(COUNTIF(Customer_Master_Table[Customer_ID],C19)&gt;0,"Valid","Invalid")</f>
        <v>Valid</v>
      </c>
      <c r="R19" t="str">
        <f t="shared" si="1"/>
        <v>Unique</v>
      </c>
    </row>
    <row r="20" spans="1:18" ht="15" thickBot="1">
      <c r="A20" s="17" t="s">
        <v>107</v>
      </c>
      <c r="B20" s="8">
        <v>45209</v>
      </c>
      <c r="C20" s="6" t="s">
        <v>108</v>
      </c>
      <c r="D20" s="6" t="s">
        <v>81</v>
      </c>
      <c r="E20" s="6" t="str">
        <f>_xlfn.XLOOKUP(D20,Product_Master_Table[Product_ID],Product_Master_Table[Product_Name],"Not Found")</f>
        <v>Tablet</v>
      </c>
      <c r="F20" s="6" t="str">
        <f>_xlfn.XLOOKUP(D20,Product_Master_Table[Product_ID],Product_Master_Table[Category],"Not Found")</f>
        <v>Electronics</v>
      </c>
      <c r="G20" s="6">
        <v>1</v>
      </c>
      <c r="H20" s="6">
        <f>_xlfn.XLOOKUP(D20,Product_Master_Table[Product_ID],Product_Master_Table[Unit_Price],"Not Found")</f>
        <v>400</v>
      </c>
      <c r="I20" s="19">
        <f t="shared" si="0"/>
        <v>400</v>
      </c>
      <c r="J20" s="6" t="s">
        <v>69</v>
      </c>
      <c r="K20" s="6" t="s">
        <v>24</v>
      </c>
      <c r="L20" s="6" t="s">
        <v>25</v>
      </c>
      <c r="M20" s="6" t="s">
        <v>83</v>
      </c>
      <c r="N20" s="8">
        <v>45211</v>
      </c>
      <c r="O20" s="6" t="s">
        <v>44</v>
      </c>
      <c r="P20" s="6" t="s">
        <v>45</v>
      </c>
      <c r="Q20" t="str">
        <f>IF(COUNTIF(Customer_Master_Table[Customer_ID],C20)&gt;0,"Valid","Invalid")</f>
        <v>Valid</v>
      </c>
      <c r="R20" t="str">
        <f t="shared" si="1"/>
        <v>Unique</v>
      </c>
    </row>
    <row r="21" spans="1:18" ht="15" thickBot="1">
      <c r="A21" s="17" t="s">
        <v>109</v>
      </c>
      <c r="B21" s="8">
        <v>45209</v>
      </c>
      <c r="C21" s="6" t="s">
        <v>110</v>
      </c>
      <c r="D21" s="6" t="s">
        <v>86</v>
      </c>
      <c r="E21" s="6" t="str">
        <f>_xlfn.XLOOKUP(D21,Product_Master_Table[Product_ID],Product_Master_Table[Product_Name],"Not Found")</f>
        <v>Desk Lamp</v>
      </c>
      <c r="F21" s="6" t="str">
        <f>_xlfn.XLOOKUP(D21,Product_Master_Table[Product_ID],Product_Master_Table[Category],"Not Found")</f>
        <v>Furniture</v>
      </c>
      <c r="G21" s="6">
        <v>3</v>
      </c>
      <c r="H21" s="6">
        <f>_xlfn.XLOOKUP(D21,Product_Master_Table[Product_ID],Product_Master_Table[Unit_Price],"Not Found")</f>
        <v>45</v>
      </c>
      <c r="I21" s="19">
        <f t="shared" si="0"/>
        <v>135</v>
      </c>
      <c r="J21" s="6" t="s">
        <v>33</v>
      </c>
      <c r="K21" s="6" t="s">
        <v>50</v>
      </c>
      <c r="L21" s="6" t="s">
        <v>51</v>
      </c>
      <c r="M21" s="6" t="s">
        <v>88</v>
      </c>
      <c r="N21" s="8">
        <v>45216</v>
      </c>
      <c r="O21" s="6" t="s">
        <v>58</v>
      </c>
      <c r="P21" s="6" t="s">
        <v>28</v>
      </c>
      <c r="Q21" t="str">
        <f>IF(COUNTIF(Customer_Master_Table[Customer_ID],C21)&gt;0,"Valid","Invalid")</f>
        <v>Valid</v>
      </c>
      <c r="R21" t="str">
        <f t="shared" si="1"/>
        <v>Unique</v>
      </c>
    </row>
    <row r="22" spans="1:18" ht="15" thickBot="1">
      <c r="A22" s="17" t="s">
        <v>111</v>
      </c>
      <c r="B22" s="8">
        <v>45210</v>
      </c>
      <c r="C22" s="6" t="s">
        <v>112</v>
      </c>
      <c r="D22" s="6" t="s">
        <v>21</v>
      </c>
      <c r="E22" s="6" t="str">
        <f>_xlfn.XLOOKUP(D22,Product_Master_Table[Product_ID],Product_Master_Table[Product_Name],"Not Found")</f>
        <v>Laptop</v>
      </c>
      <c r="F22" s="6" t="str">
        <f>_xlfn.XLOOKUP(D22,Product_Master_Table[Product_ID],Product_Master_Table[Category],"Not Found")</f>
        <v>Electronics</v>
      </c>
      <c r="G22" s="6">
        <v>5</v>
      </c>
      <c r="H22" s="6">
        <f>_xlfn.XLOOKUP(D22,Product_Master_Table[Product_ID],Product_Master_Table[Unit_Price],"Not Found")</f>
        <v>1200</v>
      </c>
      <c r="I22" s="19">
        <f t="shared" si="0"/>
        <v>6000</v>
      </c>
      <c r="J22" s="6" t="s">
        <v>95</v>
      </c>
      <c r="K22" s="6" t="s">
        <v>24</v>
      </c>
      <c r="L22" s="6" t="s">
        <v>42</v>
      </c>
      <c r="M22" s="6" t="s">
        <v>26</v>
      </c>
      <c r="N22" s="8">
        <v>45217</v>
      </c>
      <c r="O22" s="6" t="s">
        <v>96</v>
      </c>
      <c r="P22" s="6" t="s">
        <v>59</v>
      </c>
      <c r="Q22" t="str">
        <f>IF(COUNTIF(Customer_Master_Table[Customer_ID],C22)&gt;0,"Valid","Invalid")</f>
        <v>Valid</v>
      </c>
      <c r="R22" t="str">
        <f t="shared" si="1"/>
        <v>Unique</v>
      </c>
    </row>
    <row r="23" spans="1:18" ht="15" thickBot="1">
      <c r="A23" s="17" t="s">
        <v>113</v>
      </c>
      <c r="B23" s="8">
        <v>45210</v>
      </c>
      <c r="C23" s="6" t="s">
        <v>114</v>
      </c>
      <c r="D23" s="6" t="s">
        <v>31</v>
      </c>
      <c r="E23" s="6" t="str">
        <f>_xlfn.XLOOKUP(D23,Product_Master_Table[Product_ID],Product_Master_Table[Product_Name],"Not Found")</f>
        <v>Wireless Mouse</v>
      </c>
      <c r="F23" s="6" t="str">
        <f>_xlfn.XLOOKUP(D23,Product_Master_Table[Product_ID],Product_Master_Table[Category],"Not Found")</f>
        <v>Accessories</v>
      </c>
      <c r="G23" s="6">
        <v>2</v>
      </c>
      <c r="H23" s="6">
        <f>_xlfn.XLOOKUP(D23,Product_Master_Table[Product_ID],Product_Master_Table[Unit_Price],"Not Found")</f>
        <v>25</v>
      </c>
      <c r="I23" s="19">
        <f t="shared" si="0"/>
        <v>50</v>
      </c>
      <c r="J23" s="6" t="s">
        <v>23</v>
      </c>
      <c r="K23" s="6" t="s">
        <v>24</v>
      </c>
      <c r="L23" s="6" t="s">
        <v>25</v>
      </c>
      <c r="M23" s="6" t="s">
        <v>34</v>
      </c>
      <c r="N23" s="8">
        <v>45213</v>
      </c>
      <c r="O23" s="6" t="s">
        <v>27</v>
      </c>
      <c r="P23" s="6" t="s">
        <v>35</v>
      </c>
      <c r="Q23" t="str">
        <f>IF(COUNTIF(Customer_Master_Table[Customer_ID],C23)&gt;0,"Valid","Invalid")</f>
        <v>Valid</v>
      </c>
      <c r="R23" t="str">
        <f t="shared" si="1"/>
        <v>Unique</v>
      </c>
    </row>
    <row r="24" spans="1:18" ht="15" thickBot="1">
      <c r="A24" s="17" t="s">
        <v>115</v>
      </c>
      <c r="B24" s="8">
        <v>45211</v>
      </c>
      <c r="C24" s="6" t="s">
        <v>116</v>
      </c>
      <c r="D24" s="6" t="s">
        <v>38</v>
      </c>
      <c r="E24" s="6" t="str">
        <f>_xlfn.XLOOKUP(D24,Product_Master_Table[Product_ID],Product_Master_Table[Product_Name],"Not Found")</f>
        <v>Office Chair</v>
      </c>
      <c r="F24" s="6" t="str">
        <f>_xlfn.XLOOKUP(D24,Product_Master_Table[Product_ID],Product_Master_Table[Category],"Not Found")</f>
        <v>Furniture</v>
      </c>
      <c r="G24" s="6">
        <v>1</v>
      </c>
      <c r="H24" s="6">
        <f>_xlfn.XLOOKUP(D24,Product_Master_Table[Product_ID],Product_Master_Table[Unit_Price],"Not Found")</f>
        <v>150</v>
      </c>
      <c r="I24" s="19">
        <f t="shared" si="0"/>
        <v>150</v>
      </c>
      <c r="J24" s="6" t="s">
        <v>33</v>
      </c>
      <c r="K24" s="6" t="s">
        <v>24</v>
      </c>
      <c r="L24" s="6" t="s">
        <v>42</v>
      </c>
      <c r="M24" s="6" t="s">
        <v>43</v>
      </c>
      <c r="N24" s="8">
        <v>45216</v>
      </c>
      <c r="O24" s="6" t="s">
        <v>58</v>
      </c>
      <c r="P24" s="6" t="s">
        <v>45</v>
      </c>
      <c r="Q24" t="str">
        <f>IF(COUNTIF(Customer_Master_Table[Customer_ID],C24)&gt;0,"Valid","Invalid")</f>
        <v>Valid</v>
      </c>
      <c r="R24" t="str">
        <f t="shared" si="1"/>
        <v>Unique</v>
      </c>
    </row>
    <row r="25" spans="1:18" ht="15" thickBot="1">
      <c r="A25" s="17" t="s">
        <v>117</v>
      </c>
      <c r="B25" s="8">
        <v>45211</v>
      </c>
      <c r="C25" s="6" t="s">
        <v>118</v>
      </c>
      <c r="D25" s="6" t="s">
        <v>48</v>
      </c>
      <c r="E25" s="6" t="str">
        <f>_xlfn.XLOOKUP(D25,Product_Master_Table[Product_ID],Product_Master_Table[Product_Name],"Not Found")</f>
        <v>Monitor</v>
      </c>
      <c r="F25" s="6" t="str">
        <f>_xlfn.XLOOKUP(D25,Product_Master_Table[Product_ID],Product_Master_Table[Category],"Not Found")</f>
        <v>Electronics</v>
      </c>
      <c r="G25" s="6">
        <v>1</v>
      </c>
      <c r="H25" s="6">
        <f>_xlfn.XLOOKUP(D25,Product_Master_Table[Product_ID],Product_Master_Table[Unit_Price],"Not Found")</f>
        <v>300</v>
      </c>
      <c r="I25" s="19">
        <f t="shared" si="0"/>
        <v>300</v>
      </c>
      <c r="J25" s="6" t="s">
        <v>41</v>
      </c>
      <c r="K25" s="6" t="s">
        <v>75</v>
      </c>
      <c r="L25" s="6" t="s">
        <v>76</v>
      </c>
      <c r="M25" s="6" t="s">
        <v>52</v>
      </c>
      <c r="N25" s="6" t="s">
        <v>78</v>
      </c>
      <c r="O25" s="6" t="s">
        <v>27</v>
      </c>
      <c r="P25" s="6" t="s">
        <v>28</v>
      </c>
      <c r="Q25" t="str">
        <f>IF(COUNTIF(Customer_Master_Table[Customer_ID],C25)&gt;0,"Valid","Invalid")</f>
        <v>Valid</v>
      </c>
      <c r="R25" t="str">
        <f t="shared" si="1"/>
        <v>Unique</v>
      </c>
    </row>
    <row r="26" spans="1:18" ht="15" thickBot="1">
      <c r="A26" s="17" t="s">
        <v>119</v>
      </c>
      <c r="B26" s="8">
        <v>45212</v>
      </c>
      <c r="C26" s="6" t="s">
        <v>120</v>
      </c>
      <c r="D26" s="6" t="s">
        <v>55</v>
      </c>
      <c r="E26" s="6" t="str">
        <f>_xlfn.XLOOKUP(D26,Product_Master_Table[Product_ID],Product_Master_Table[Product_Name],"Not Found")</f>
        <v>Mechanical Keyboard</v>
      </c>
      <c r="F26" s="6" t="str">
        <f>_xlfn.XLOOKUP(D26,Product_Master_Table[Product_ID],Product_Master_Table[Category],"Not Found")</f>
        <v>Accessories</v>
      </c>
      <c r="G26" s="6">
        <v>1</v>
      </c>
      <c r="H26" s="6">
        <f>_xlfn.XLOOKUP(D26,Product_Master_Table[Product_ID],Product_Master_Table[Unit_Price],"Not Found")</f>
        <v>85</v>
      </c>
      <c r="I26" s="19">
        <f t="shared" si="0"/>
        <v>85</v>
      </c>
      <c r="J26" s="6" t="s">
        <v>23</v>
      </c>
      <c r="K26" s="6" t="s">
        <v>24</v>
      </c>
      <c r="L26" s="6" t="s">
        <v>51</v>
      </c>
      <c r="M26" s="6" t="s">
        <v>57</v>
      </c>
      <c r="N26" s="8">
        <v>45217</v>
      </c>
      <c r="O26" s="6" t="s">
        <v>27</v>
      </c>
      <c r="P26" s="6" t="s">
        <v>59</v>
      </c>
      <c r="Q26" t="str">
        <f>IF(COUNTIF(Customer_Master_Table[Customer_ID],C26)&gt;0,"Valid","Invalid")</f>
        <v>Valid</v>
      </c>
      <c r="R26" t="str">
        <f t="shared" si="1"/>
        <v>Unique</v>
      </c>
    </row>
    <row r="27" spans="1:18" ht="15" thickBot="1">
      <c r="A27" s="17" t="s">
        <v>121</v>
      </c>
      <c r="B27" s="8">
        <v>45212</v>
      </c>
      <c r="C27" s="6" t="s">
        <v>122</v>
      </c>
      <c r="D27" s="6" t="s">
        <v>62</v>
      </c>
      <c r="E27" s="6" t="str">
        <f>_xlfn.XLOOKUP(D27,Product_Master_Table[Product_ID],Product_Master_Table[Product_Name],"Not Found")</f>
        <v>Standing Desk</v>
      </c>
      <c r="F27" s="6" t="str">
        <f>_xlfn.XLOOKUP(D27,Product_Master_Table[Product_ID],Product_Master_Table[Category],"Not Found")</f>
        <v>Furniture</v>
      </c>
      <c r="G27" s="6">
        <v>2</v>
      </c>
      <c r="H27" s="6">
        <f>_xlfn.XLOOKUP(D27,Product_Master_Table[Product_ID],Product_Master_Table[Unit_Price],"Not Found")</f>
        <v>450</v>
      </c>
      <c r="I27" s="19">
        <f t="shared" si="0"/>
        <v>900</v>
      </c>
      <c r="J27" s="6" t="s">
        <v>95</v>
      </c>
      <c r="K27" s="6" t="s">
        <v>24</v>
      </c>
      <c r="L27" s="6" t="s">
        <v>42</v>
      </c>
      <c r="M27" s="6" t="s">
        <v>64</v>
      </c>
      <c r="N27" s="8">
        <v>45221</v>
      </c>
      <c r="O27" s="6" t="s">
        <v>96</v>
      </c>
      <c r="P27" s="6" t="s">
        <v>35</v>
      </c>
      <c r="Q27" t="str">
        <f>IF(COUNTIF(Customer_Master_Table[Customer_ID],C27)&gt;0,"Valid","Invalid")</f>
        <v>Valid</v>
      </c>
      <c r="R27" t="str">
        <f t="shared" si="1"/>
        <v>Unique</v>
      </c>
    </row>
    <row r="28" spans="1:18" ht="15" thickBot="1">
      <c r="A28" s="17" t="s">
        <v>123</v>
      </c>
      <c r="B28" s="8">
        <v>45213</v>
      </c>
      <c r="C28" s="6" t="s">
        <v>124</v>
      </c>
      <c r="D28" s="6" t="s">
        <v>67</v>
      </c>
      <c r="E28" s="6" t="str">
        <f>_xlfn.XLOOKUP(D28,Product_Master_Table[Product_ID],Product_Master_Table[Product_Name],"Not Found")</f>
        <v>Smartphone</v>
      </c>
      <c r="F28" s="6" t="str">
        <f>_xlfn.XLOOKUP(D28,Product_Master_Table[Product_ID],Product_Master_Table[Category],"Not Found")</f>
        <v>Electronics</v>
      </c>
      <c r="G28" s="6">
        <v>1</v>
      </c>
      <c r="H28" s="6">
        <f>_xlfn.XLOOKUP(D28,Product_Master_Table[Product_ID],Product_Master_Table[Unit_Price],"Not Found")</f>
        <v>800</v>
      </c>
      <c r="I28" s="19">
        <f t="shared" si="0"/>
        <v>800</v>
      </c>
      <c r="J28" s="6" t="s">
        <v>33</v>
      </c>
      <c r="K28" s="6" t="s">
        <v>24</v>
      </c>
      <c r="L28" s="6" t="s">
        <v>25</v>
      </c>
      <c r="M28" s="6" t="s">
        <v>70</v>
      </c>
      <c r="N28" s="8">
        <v>45217</v>
      </c>
      <c r="O28" s="6" t="s">
        <v>58</v>
      </c>
      <c r="P28" s="6" t="s">
        <v>45</v>
      </c>
      <c r="Q28" t="str">
        <f>IF(COUNTIF(Customer_Master_Table[Customer_ID],C28)&gt;0,"Valid","Invalid")</f>
        <v>Valid</v>
      </c>
      <c r="R28" t="str">
        <f t="shared" si="1"/>
        <v>Unique</v>
      </c>
    </row>
    <row r="29" spans="1:18" ht="15" thickBot="1">
      <c r="A29" s="17" t="s">
        <v>125</v>
      </c>
      <c r="B29" s="8">
        <v>45213</v>
      </c>
      <c r="C29" s="6" t="s">
        <v>126</v>
      </c>
      <c r="D29" s="6" t="s">
        <v>73</v>
      </c>
      <c r="E29" s="6" t="str">
        <f>_xlfn.XLOOKUP(D29,Product_Master_Table[Product_ID],Product_Master_Table[Product_Name],"Not Found")</f>
        <v>Headphones</v>
      </c>
      <c r="F29" s="6" t="str">
        <f>_xlfn.XLOOKUP(D29,Product_Master_Table[Product_ID],Product_Master_Table[Category],"Not Found")</f>
        <v>Accessories</v>
      </c>
      <c r="G29" s="6">
        <v>2</v>
      </c>
      <c r="H29" s="6">
        <f>_xlfn.XLOOKUP(D29,Product_Master_Table[Product_ID],Product_Master_Table[Unit_Price],"Not Found")</f>
        <v>120</v>
      </c>
      <c r="I29" s="19">
        <f t="shared" si="0"/>
        <v>240</v>
      </c>
      <c r="J29" s="6" t="s">
        <v>23</v>
      </c>
      <c r="K29" s="6" t="s">
        <v>24</v>
      </c>
      <c r="L29" s="6" t="s">
        <v>51</v>
      </c>
      <c r="M29" s="6" t="s">
        <v>77</v>
      </c>
      <c r="N29" s="8">
        <v>45219</v>
      </c>
      <c r="O29" s="6" t="s">
        <v>27</v>
      </c>
      <c r="P29" s="6" t="s">
        <v>28</v>
      </c>
      <c r="Q29" t="str">
        <f>IF(COUNTIF(Customer_Master_Table[Customer_ID],C29)&gt;0,"Valid","Invalid")</f>
        <v>Valid</v>
      </c>
      <c r="R29" t="str">
        <f t="shared" si="1"/>
        <v>Unique</v>
      </c>
    </row>
    <row r="30" spans="1:18" ht="15" thickBot="1">
      <c r="A30" s="17" t="s">
        <v>127</v>
      </c>
      <c r="B30" s="8">
        <v>45214</v>
      </c>
      <c r="C30" s="6" t="s">
        <v>128</v>
      </c>
      <c r="D30" s="6" t="s">
        <v>81</v>
      </c>
      <c r="E30" s="6" t="str">
        <f>_xlfn.XLOOKUP(D30,Product_Master_Table[Product_ID],Product_Master_Table[Product_Name],"Not Found")</f>
        <v>Tablet</v>
      </c>
      <c r="F30" s="6" t="str">
        <f>_xlfn.XLOOKUP(D30,Product_Master_Table[Product_ID],Product_Master_Table[Category],"Not Found")</f>
        <v>Electronics</v>
      </c>
      <c r="G30" s="6">
        <v>1</v>
      </c>
      <c r="H30" s="6">
        <f>_xlfn.XLOOKUP(D30,Product_Master_Table[Product_ID],Product_Master_Table[Unit_Price],"Not Found")</f>
        <v>400</v>
      </c>
      <c r="I30" s="19">
        <f t="shared" si="0"/>
        <v>400</v>
      </c>
      <c r="J30" s="6" t="s">
        <v>41</v>
      </c>
      <c r="K30" s="6" t="s">
        <v>50</v>
      </c>
      <c r="L30" s="6" t="s">
        <v>51</v>
      </c>
      <c r="M30" s="6" t="s">
        <v>83</v>
      </c>
      <c r="N30" s="8">
        <v>45220</v>
      </c>
      <c r="O30" s="6" t="s">
        <v>27</v>
      </c>
      <c r="P30" s="6" t="s">
        <v>59</v>
      </c>
      <c r="Q30" t="str">
        <f>IF(COUNTIF(Customer_Master_Table[Customer_ID],C30)&gt;0,"Valid","Invalid")</f>
        <v>Valid</v>
      </c>
      <c r="R30" t="str">
        <f t="shared" si="1"/>
        <v>Unique</v>
      </c>
    </row>
    <row r="31" spans="1:18" ht="15" thickBot="1">
      <c r="A31" s="17" t="s">
        <v>129</v>
      </c>
      <c r="B31" s="8">
        <v>45214</v>
      </c>
      <c r="C31" s="6" t="s">
        <v>130</v>
      </c>
      <c r="D31" s="6" t="s">
        <v>86</v>
      </c>
      <c r="E31" s="6" t="str">
        <f>_xlfn.XLOOKUP(D31,Product_Master_Table[Product_ID],Product_Master_Table[Product_Name],"Not Found")</f>
        <v>Desk Lamp</v>
      </c>
      <c r="F31" s="6" t="str">
        <f>_xlfn.XLOOKUP(D31,Product_Master_Table[Product_ID],Product_Master_Table[Category],"Not Found")</f>
        <v>Furniture</v>
      </c>
      <c r="G31" s="6">
        <v>2</v>
      </c>
      <c r="H31" s="6">
        <f>_xlfn.XLOOKUP(D31,Product_Master_Table[Product_ID],Product_Master_Table[Unit_Price],"Not Found")</f>
        <v>45</v>
      </c>
      <c r="I31" s="19">
        <f t="shared" si="0"/>
        <v>90</v>
      </c>
      <c r="J31" s="6" t="s">
        <v>69</v>
      </c>
      <c r="K31" s="6" t="s">
        <v>24</v>
      </c>
      <c r="L31" s="6" t="s">
        <v>25</v>
      </c>
      <c r="M31" s="6" t="s">
        <v>88</v>
      </c>
      <c r="N31" s="8">
        <v>45216</v>
      </c>
      <c r="O31" s="6" t="s">
        <v>44</v>
      </c>
      <c r="P31" s="6" t="s">
        <v>35</v>
      </c>
      <c r="Q31" t="str">
        <f>IF(COUNTIF(Customer_Master_Table[Customer_ID],C31)&gt;0,"Valid","Invalid")</f>
        <v>Valid</v>
      </c>
      <c r="R31" t="str">
        <f t="shared" si="1"/>
        <v>Unique</v>
      </c>
    </row>
    <row r="32" spans="1:18" ht="15" thickBot="1">
      <c r="A32" s="17" t="s">
        <v>131</v>
      </c>
      <c r="B32" s="8">
        <v>45215</v>
      </c>
      <c r="C32" s="6" t="s">
        <v>132</v>
      </c>
      <c r="D32" s="6" t="s">
        <v>21</v>
      </c>
      <c r="E32" s="6" t="str">
        <f>_xlfn.XLOOKUP(D32,Product_Master_Table[Product_ID],Product_Master_Table[Product_Name],"Not Found")</f>
        <v>Laptop</v>
      </c>
      <c r="F32" s="6" t="str">
        <f>_xlfn.XLOOKUP(D32,Product_Master_Table[Product_ID],Product_Master_Table[Category],"Not Found")</f>
        <v>Electronics</v>
      </c>
      <c r="G32" s="6">
        <v>1</v>
      </c>
      <c r="H32" s="6">
        <f>_xlfn.XLOOKUP(D32,Product_Master_Table[Product_ID],Product_Master_Table[Unit_Price],"Not Found")</f>
        <v>1200</v>
      </c>
      <c r="I32" s="19">
        <f t="shared" si="0"/>
        <v>1200</v>
      </c>
      <c r="J32" s="6" t="s">
        <v>23</v>
      </c>
      <c r="K32" s="6" t="s">
        <v>24</v>
      </c>
      <c r="L32" s="6" t="s">
        <v>42</v>
      </c>
      <c r="M32" s="6" t="s">
        <v>26</v>
      </c>
      <c r="N32" s="8">
        <v>45221</v>
      </c>
      <c r="O32" s="6" t="s">
        <v>27</v>
      </c>
      <c r="P32" s="6" t="s">
        <v>45</v>
      </c>
      <c r="Q32" t="str">
        <f>IF(COUNTIF(Customer_Master_Table[Customer_ID],C32)&gt;0,"Valid","Invalid")</f>
        <v>Valid</v>
      </c>
      <c r="R32" t="str">
        <f t="shared" si="1"/>
        <v>Unique</v>
      </c>
    </row>
    <row r="33" spans="1:18" ht="15" thickBot="1">
      <c r="A33" s="17" t="s">
        <v>133</v>
      </c>
      <c r="B33" s="8">
        <v>45215</v>
      </c>
      <c r="C33" s="6" t="s">
        <v>134</v>
      </c>
      <c r="D33" s="6" t="s">
        <v>31</v>
      </c>
      <c r="E33" s="6" t="str">
        <f>_xlfn.XLOOKUP(D33,Product_Master_Table[Product_ID],Product_Master_Table[Product_Name],"Not Found")</f>
        <v>Wireless Mouse</v>
      </c>
      <c r="F33" s="6" t="str">
        <f>_xlfn.XLOOKUP(D33,Product_Master_Table[Product_ID],Product_Master_Table[Category],"Not Found")</f>
        <v>Accessories</v>
      </c>
      <c r="G33" s="6">
        <v>3</v>
      </c>
      <c r="H33" s="6">
        <f>_xlfn.XLOOKUP(D33,Product_Master_Table[Product_ID],Product_Master_Table[Unit_Price],"Not Found")</f>
        <v>25</v>
      </c>
      <c r="I33" s="19">
        <f t="shared" si="0"/>
        <v>75</v>
      </c>
      <c r="J33" s="6" t="s">
        <v>33</v>
      </c>
      <c r="K33" s="6" t="s">
        <v>24</v>
      </c>
      <c r="L33" s="6" t="s">
        <v>25</v>
      </c>
      <c r="M33" s="6" t="s">
        <v>34</v>
      </c>
      <c r="N33" s="8">
        <v>45218</v>
      </c>
      <c r="O33" s="6" t="s">
        <v>58</v>
      </c>
      <c r="P33" s="6" t="s">
        <v>28</v>
      </c>
      <c r="Q33" t="str">
        <f>IF(COUNTIF(Customer_Master_Table[Customer_ID],C33)&gt;0,"Valid","Invalid")</f>
        <v>Valid</v>
      </c>
      <c r="R33" t="str">
        <f t="shared" si="1"/>
        <v>Unique</v>
      </c>
    </row>
    <row r="34" spans="1:18" ht="15" thickBot="1">
      <c r="A34" s="17" t="s">
        <v>135</v>
      </c>
      <c r="B34" s="8">
        <v>45216</v>
      </c>
      <c r="C34" s="6" t="s">
        <v>136</v>
      </c>
      <c r="D34" s="6" t="s">
        <v>38</v>
      </c>
      <c r="E34" s="6" t="str">
        <f>_xlfn.XLOOKUP(D34,Product_Master_Table[Product_ID],Product_Master_Table[Product_Name],"Not Found")</f>
        <v>Office Chair</v>
      </c>
      <c r="F34" s="6" t="str">
        <f>_xlfn.XLOOKUP(D34,Product_Master_Table[Product_ID],Product_Master_Table[Category],"Not Found")</f>
        <v>Furniture</v>
      </c>
      <c r="G34" s="6">
        <v>2</v>
      </c>
      <c r="H34" s="6">
        <f>_xlfn.XLOOKUP(D34,Product_Master_Table[Product_ID],Product_Master_Table[Unit_Price],"Not Found")</f>
        <v>150</v>
      </c>
      <c r="I34" s="19">
        <f t="shared" si="0"/>
        <v>300</v>
      </c>
      <c r="J34" s="6" t="s">
        <v>23</v>
      </c>
      <c r="K34" s="6" t="s">
        <v>75</v>
      </c>
      <c r="L34" s="6" t="s">
        <v>76</v>
      </c>
      <c r="M34" s="6" t="s">
        <v>43</v>
      </c>
      <c r="N34" s="6" t="s">
        <v>78</v>
      </c>
      <c r="O34" s="6" t="s">
        <v>27</v>
      </c>
      <c r="P34" s="6" t="s">
        <v>59</v>
      </c>
      <c r="Q34" t="str">
        <f>IF(COUNTIF(Customer_Master_Table[Customer_ID],C34)&gt;0,"Valid","Invalid")</f>
        <v>Valid</v>
      </c>
      <c r="R34" t="str">
        <f t="shared" si="1"/>
        <v>Unique</v>
      </c>
    </row>
    <row r="35" spans="1:18" ht="15" thickBot="1">
      <c r="A35" s="17" t="s">
        <v>137</v>
      </c>
      <c r="B35" s="8">
        <v>45216</v>
      </c>
      <c r="C35" s="6" t="s">
        <v>138</v>
      </c>
      <c r="D35" s="6" t="s">
        <v>48</v>
      </c>
      <c r="E35" s="6" t="str">
        <f>_xlfn.XLOOKUP(D35,Product_Master_Table[Product_ID],Product_Master_Table[Product_Name],"Not Found")</f>
        <v>Monitor</v>
      </c>
      <c r="F35" s="6" t="str">
        <f>_xlfn.XLOOKUP(D35,Product_Master_Table[Product_ID],Product_Master_Table[Category],"Not Found")</f>
        <v>Electronics</v>
      </c>
      <c r="G35" s="6">
        <v>1</v>
      </c>
      <c r="H35" s="6">
        <f>_xlfn.XLOOKUP(D35,Product_Master_Table[Product_ID],Product_Master_Table[Unit_Price],"Not Found")</f>
        <v>300</v>
      </c>
      <c r="I35" s="19">
        <f t="shared" si="0"/>
        <v>300</v>
      </c>
      <c r="J35" s="6" t="s">
        <v>69</v>
      </c>
      <c r="K35" s="6" t="s">
        <v>24</v>
      </c>
      <c r="L35" s="6" t="s">
        <v>25</v>
      </c>
      <c r="M35" s="6" t="s">
        <v>52</v>
      </c>
      <c r="N35" s="8">
        <v>45218</v>
      </c>
      <c r="O35" s="6" t="s">
        <v>44</v>
      </c>
      <c r="P35" s="6" t="s">
        <v>35</v>
      </c>
      <c r="Q35" t="str">
        <f>IF(COUNTIF(Customer_Master_Table[Customer_ID],C35)&gt;0,"Valid","Invalid")</f>
        <v>Valid</v>
      </c>
      <c r="R35" t="str">
        <f t="shared" si="1"/>
        <v>Unique</v>
      </c>
    </row>
    <row r="36" spans="1:18" ht="15" thickBot="1">
      <c r="A36" s="17" t="s">
        <v>139</v>
      </c>
      <c r="B36" s="8">
        <v>45217</v>
      </c>
      <c r="C36" s="6" t="s">
        <v>140</v>
      </c>
      <c r="D36" s="6" t="s">
        <v>55</v>
      </c>
      <c r="E36" s="6" t="str">
        <f>_xlfn.XLOOKUP(D36,Product_Master_Table[Product_ID],Product_Master_Table[Product_Name],"Not Found")</f>
        <v>Mechanical Keyboard</v>
      </c>
      <c r="F36" s="6" t="str">
        <f>_xlfn.XLOOKUP(D36,Product_Master_Table[Product_ID],Product_Master_Table[Category],"Not Found")</f>
        <v>Accessories</v>
      </c>
      <c r="G36" s="6">
        <v>1</v>
      </c>
      <c r="H36" s="6">
        <f>_xlfn.XLOOKUP(D36,Product_Master_Table[Product_ID],Product_Master_Table[Unit_Price],"Not Found")</f>
        <v>85</v>
      </c>
      <c r="I36" s="19">
        <f t="shared" si="0"/>
        <v>85</v>
      </c>
      <c r="J36" s="6" t="s">
        <v>33</v>
      </c>
      <c r="K36" s="6" t="s">
        <v>24</v>
      </c>
      <c r="L36" s="6" t="s">
        <v>51</v>
      </c>
      <c r="M36" s="6" t="s">
        <v>57</v>
      </c>
      <c r="N36" s="8">
        <v>45222</v>
      </c>
      <c r="O36" s="6" t="s">
        <v>58</v>
      </c>
      <c r="P36" s="6" t="s">
        <v>45</v>
      </c>
      <c r="Q36" t="str">
        <f>IF(COUNTIF(Customer_Master_Table[Customer_ID],C36)&gt;0,"Valid","Invalid")</f>
        <v>Valid</v>
      </c>
      <c r="R36" t="str">
        <f t="shared" si="1"/>
        <v>Unique</v>
      </c>
    </row>
    <row r="37" spans="1:18" ht="15" thickBot="1">
      <c r="A37" s="17" t="s">
        <v>141</v>
      </c>
      <c r="B37" s="8">
        <v>45217</v>
      </c>
      <c r="C37" s="6" t="s">
        <v>142</v>
      </c>
      <c r="D37" s="6" t="s">
        <v>62</v>
      </c>
      <c r="E37" s="6" t="str">
        <f>_xlfn.XLOOKUP(D37,Product_Master_Table[Product_ID],Product_Master_Table[Product_Name],"Not Found")</f>
        <v>Standing Desk</v>
      </c>
      <c r="F37" s="6" t="str">
        <f>_xlfn.XLOOKUP(D37,Product_Master_Table[Product_ID],Product_Master_Table[Category],"Not Found")</f>
        <v>Furniture</v>
      </c>
      <c r="G37" s="6">
        <v>1</v>
      </c>
      <c r="H37" s="6">
        <f>_xlfn.XLOOKUP(D37,Product_Master_Table[Product_ID],Product_Master_Table[Unit_Price],"Not Found")</f>
        <v>450</v>
      </c>
      <c r="I37" s="19">
        <f t="shared" si="0"/>
        <v>450</v>
      </c>
      <c r="J37" s="6" t="s">
        <v>41</v>
      </c>
      <c r="K37" s="6" t="s">
        <v>24</v>
      </c>
      <c r="L37" s="6" t="s">
        <v>42</v>
      </c>
      <c r="M37" s="6" t="s">
        <v>64</v>
      </c>
      <c r="N37" s="8">
        <v>45224</v>
      </c>
      <c r="O37" s="6" t="s">
        <v>27</v>
      </c>
      <c r="P37" s="6" t="s">
        <v>28</v>
      </c>
      <c r="Q37" t="str">
        <f>IF(COUNTIF(Customer_Master_Table[Customer_ID],C37)&gt;0,"Valid","Invalid")</f>
        <v>Valid</v>
      </c>
      <c r="R37" t="str">
        <f t="shared" si="1"/>
        <v>Unique</v>
      </c>
    </row>
    <row r="38" spans="1:18" ht="15" thickBot="1">
      <c r="A38" s="17" t="s">
        <v>143</v>
      </c>
      <c r="B38" s="8">
        <v>45218</v>
      </c>
      <c r="C38" s="6" t="s">
        <v>144</v>
      </c>
      <c r="D38" s="6" t="s">
        <v>67</v>
      </c>
      <c r="E38" s="6" t="str">
        <f>_xlfn.XLOOKUP(D38,Product_Master_Table[Product_ID],Product_Master_Table[Product_Name],"Not Found")</f>
        <v>Smartphone</v>
      </c>
      <c r="F38" s="6" t="str">
        <f>_xlfn.XLOOKUP(D38,Product_Master_Table[Product_ID],Product_Master_Table[Category],"Not Found")</f>
        <v>Electronics</v>
      </c>
      <c r="G38" s="6">
        <v>3</v>
      </c>
      <c r="H38" s="6">
        <f>_xlfn.XLOOKUP(D38,Product_Master_Table[Product_ID],Product_Master_Table[Unit_Price],"Not Found")</f>
        <v>800</v>
      </c>
      <c r="I38" s="19">
        <f t="shared" si="0"/>
        <v>2400</v>
      </c>
      <c r="J38" s="6" t="s">
        <v>95</v>
      </c>
      <c r="K38" s="6" t="s">
        <v>50</v>
      </c>
      <c r="L38" s="6" t="s">
        <v>51</v>
      </c>
      <c r="M38" s="6" t="s">
        <v>70</v>
      </c>
      <c r="N38" s="8">
        <v>45225</v>
      </c>
      <c r="O38" s="6" t="s">
        <v>96</v>
      </c>
      <c r="P38" s="6" t="s">
        <v>59</v>
      </c>
      <c r="Q38" t="str">
        <f>IF(COUNTIF(Customer_Master_Table[Customer_ID],C38)&gt;0,"Valid","Invalid")</f>
        <v>Valid</v>
      </c>
      <c r="R38" t="str">
        <f t="shared" si="1"/>
        <v>Unique</v>
      </c>
    </row>
    <row r="39" spans="1:18" ht="15" thickBot="1">
      <c r="A39" s="17" t="s">
        <v>145</v>
      </c>
      <c r="B39" s="8">
        <v>45218</v>
      </c>
      <c r="C39" s="6" t="s">
        <v>146</v>
      </c>
      <c r="D39" s="6" t="s">
        <v>73</v>
      </c>
      <c r="E39" s="6" t="str">
        <f>_xlfn.XLOOKUP(D39,Product_Master_Table[Product_ID],Product_Master_Table[Product_Name],"Not Found")</f>
        <v>Headphones</v>
      </c>
      <c r="F39" s="6" t="str">
        <f>_xlfn.XLOOKUP(D39,Product_Master_Table[Product_ID],Product_Master_Table[Category],"Not Found")</f>
        <v>Accessories</v>
      </c>
      <c r="G39" s="6">
        <v>1</v>
      </c>
      <c r="H39" s="6">
        <f>_xlfn.XLOOKUP(D39,Product_Master_Table[Product_ID],Product_Master_Table[Unit_Price],"Not Found")</f>
        <v>120</v>
      </c>
      <c r="I39" s="19">
        <f t="shared" si="0"/>
        <v>120</v>
      </c>
      <c r="J39" s="6" t="s">
        <v>23</v>
      </c>
      <c r="K39" s="6" t="s">
        <v>24</v>
      </c>
      <c r="L39" s="6" t="s">
        <v>25</v>
      </c>
      <c r="M39" s="6" t="s">
        <v>77</v>
      </c>
      <c r="N39" s="8">
        <v>45221</v>
      </c>
      <c r="O39" s="6" t="s">
        <v>27</v>
      </c>
      <c r="P39" s="6" t="s">
        <v>35</v>
      </c>
      <c r="Q39" t="str">
        <f>IF(COUNTIF(Customer_Master_Table[Customer_ID],C39)&gt;0,"Valid","Invalid")</f>
        <v>Valid</v>
      </c>
      <c r="R39" t="str">
        <f t="shared" si="1"/>
        <v>Unique</v>
      </c>
    </row>
    <row r="40" spans="1:18" ht="15" thickBot="1">
      <c r="A40" s="17" t="s">
        <v>147</v>
      </c>
      <c r="B40" s="8">
        <v>45219</v>
      </c>
      <c r="C40" s="6" t="s">
        <v>148</v>
      </c>
      <c r="D40" s="6" t="s">
        <v>81</v>
      </c>
      <c r="E40" s="6" t="str">
        <f>_xlfn.XLOOKUP(D40,Product_Master_Table[Product_ID],Product_Master_Table[Product_Name],"Not Found")</f>
        <v>Tablet</v>
      </c>
      <c r="F40" s="6" t="str">
        <f>_xlfn.XLOOKUP(D40,Product_Master_Table[Product_ID],Product_Master_Table[Category],"Not Found")</f>
        <v>Electronics</v>
      </c>
      <c r="G40" s="6">
        <v>2</v>
      </c>
      <c r="H40" s="6">
        <f>_xlfn.XLOOKUP(D40,Product_Master_Table[Product_ID],Product_Master_Table[Unit_Price],"Not Found")</f>
        <v>400</v>
      </c>
      <c r="I40" s="19">
        <f t="shared" si="0"/>
        <v>800</v>
      </c>
      <c r="J40" s="6" t="s">
        <v>33</v>
      </c>
      <c r="K40" s="6" t="s">
        <v>24</v>
      </c>
      <c r="L40" s="6" t="s">
        <v>42</v>
      </c>
      <c r="M40" s="6" t="s">
        <v>83</v>
      </c>
      <c r="N40" s="8">
        <v>45225</v>
      </c>
      <c r="O40" s="6" t="s">
        <v>58</v>
      </c>
      <c r="P40" s="6" t="s">
        <v>45</v>
      </c>
      <c r="Q40" t="str">
        <f>IF(COUNTIF(Customer_Master_Table[Customer_ID],C40)&gt;0,"Valid","Invalid")</f>
        <v>Valid</v>
      </c>
      <c r="R40" t="str">
        <f t="shared" si="1"/>
        <v>Unique</v>
      </c>
    </row>
    <row r="41" spans="1:18" ht="15" thickBot="1">
      <c r="A41" s="17" t="s">
        <v>149</v>
      </c>
      <c r="B41" s="8">
        <v>45219</v>
      </c>
      <c r="C41" s="6" t="s">
        <v>150</v>
      </c>
      <c r="D41" s="6" t="s">
        <v>86</v>
      </c>
      <c r="E41" s="6" t="str">
        <f>_xlfn.XLOOKUP(D41,Product_Master_Table[Product_ID],Product_Master_Table[Product_Name],"Not Found")</f>
        <v>Desk Lamp</v>
      </c>
      <c r="F41" s="6" t="str">
        <f>_xlfn.XLOOKUP(D41,Product_Master_Table[Product_ID],Product_Master_Table[Category],"Not Found")</f>
        <v>Furniture</v>
      </c>
      <c r="G41" s="6">
        <v>1</v>
      </c>
      <c r="H41" s="6">
        <f>_xlfn.XLOOKUP(D41,Product_Master_Table[Product_ID],Product_Master_Table[Unit_Price],"Not Found")</f>
        <v>45</v>
      </c>
      <c r="I41" s="19">
        <f t="shared" si="0"/>
        <v>45</v>
      </c>
      <c r="J41" s="6" t="s">
        <v>69</v>
      </c>
      <c r="K41" s="6" t="s">
        <v>24</v>
      </c>
      <c r="L41" s="6" t="s">
        <v>25</v>
      </c>
      <c r="M41" s="6" t="s">
        <v>88</v>
      </c>
      <c r="N41" s="8">
        <v>45220</v>
      </c>
      <c r="O41" s="6" t="s">
        <v>44</v>
      </c>
      <c r="P41" s="6" t="s">
        <v>28</v>
      </c>
      <c r="Q41" t="str">
        <f>IF(COUNTIF(Customer_Master_Table[Customer_ID],C41)&gt;0,"Valid","Invalid")</f>
        <v>Valid</v>
      </c>
      <c r="R41" t="str">
        <f t="shared" si="1"/>
        <v>Unique</v>
      </c>
    </row>
    <row r="42" spans="1:18" ht="15" thickBot="1">
      <c r="A42" s="17" t="s">
        <v>151</v>
      </c>
      <c r="B42" s="8">
        <v>45220</v>
      </c>
      <c r="C42" s="6" t="s">
        <v>152</v>
      </c>
      <c r="D42" s="6" t="s">
        <v>21</v>
      </c>
      <c r="E42" s="6" t="str">
        <f>_xlfn.XLOOKUP(D42,Product_Master_Table[Product_ID],Product_Master_Table[Product_Name],"Not Found")</f>
        <v>Laptop</v>
      </c>
      <c r="F42" s="6" t="str">
        <f>_xlfn.XLOOKUP(D42,Product_Master_Table[Product_ID],Product_Master_Table[Category],"Not Found")</f>
        <v>Electronics</v>
      </c>
      <c r="G42" s="6">
        <v>2</v>
      </c>
      <c r="H42" s="6">
        <f>_xlfn.XLOOKUP(D42,Product_Master_Table[Product_ID],Product_Master_Table[Unit_Price],"Not Found")</f>
        <v>1200</v>
      </c>
      <c r="I42" s="19">
        <f t="shared" si="0"/>
        <v>2400</v>
      </c>
      <c r="J42" s="6" t="s">
        <v>23</v>
      </c>
      <c r="K42" s="6" t="s">
        <v>24</v>
      </c>
      <c r="L42" s="6" t="s">
        <v>51</v>
      </c>
      <c r="M42" s="6" t="s">
        <v>26</v>
      </c>
      <c r="N42" s="8">
        <v>45227</v>
      </c>
      <c r="O42" s="6" t="s">
        <v>27</v>
      </c>
      <c r="P42" s="6" t="s">
        <v>59</v>
      </c>
      <c r="Q42" t="str">
        <f>IF(COUNTIF(Customer_Master_Table[Customer_ID],C42)&gt;0,"Valid","Invalid")</f>
        <v>Valid</v>
      </c>
      <c r="R42" t="str">
        <f t="shared" si="1"/>
        <v>Unique</v>
      </c>
    </row>
    <row r="43" spans="1:18" ht="15" thickBot="1">
      <c r="A43" s="17" t="s">
        <v>153</v>
      </c>
      <c r="B43" s="8">
        <v>45220</v>
      </c>
      <c r="C43" s="6" t="s">
        <v>154</v>
      </c>
      <c r="D43" s="6" t="s">
        <v>31</v>
      </c>
      <c r="E43" s="6" t="str">
        <f>_xlfn.XLOOKUP(D43,Product_Master_Table[Product_ID],Product_Master_Table[Product_Name],"Not Found")</f>
        <v>Wireless Mouse</v>
      </c>
      <c r="F43" s="6" t="str">
        <f>_xlfn.XLOOKUP(D43,Product_Master_Table[Product_ID],Product_Master_Table[Category],"Not Found")</f>
        <v>Accessories</v>
      </c>
      <c r="G43" s="6">
        <v>1</v>
      </c>
      <c r="H43" s="6">
        <f>_xlfn.XLOOKUP(D43,Product_Master_Table[Product_ID],Product_Master_Table[Unit_Price],"Not Found")</f>
        <v>25</v>
      </c>
      <c r="I43" s="19">
        <f t="shared" si="0"/>
        <v>25</v>
      </c>
      <c r="J43" s="6" t="s">
        <v>33</v>
      </c>
      <c r="K43" s="6" t="s">
        <v>24</v>
      </c>
      <c r="L43" s="6" t="s">
        <v>42</v>
      </c>
      <c r="M43" s="6" t="s">
        <v>34</v>
      </c>
      <c r="N43" s="8">
        <v>45225</v>
      </c>
      <c r="O43" s="6" t="s">
        <v>58</v>
      </c>
      <c r="P43" s="6" t="s">
        <v>35</v>
      </c>
      <c r="Q43" t="str">
        <f>IF(COUNTIF(Customer_Master_Table[Customer_ID],C43)&gt;0,"Valid","Invalid")</f>
        <v>Valid</v>
      </c>
      <c r="R43" t="str">
        <f t="shared" si="1"/>
        <v>Unique</v>
      </c>
    </row>
    <row r="44" spans="1:18" ht="15" thickBot="1">
      <c r="A44" s="17" t="s">
        <v>155</v>
      </c>
      <c r="B44" s="8">
        <v>45221</v>
      </c>
      <c r="C44" s="6" t="s">
        <v>156</v>
      </c>
      <c r="D44" s="6" t="s">
        <v>38</v>
      </c>
      <c r="E44" s="6" t="str">
        <f>_xlfn.XLOOKUP(D44,Product_Master_Table[Product_ID],Product_Master_Table[Product_Name],"Not Found")</f>
        <v>Office Chair</v>
      </c>
      <c r="F44" s="6" t="str">
        <f>_xlfn.XLOOKUP(D44,Product_Master_Table[Product_ID],Product_Master_Table[Category],"Not Found")</f>
        <v>Furniture</v>
      </c>
      <c r="G44" s="6">
        <v>1</v>
      </c>
      <c r="H44" s="6">
        <f>_xlfn.XLOOKUP(D44,Product_Master_Table[Product_ID],Product_Master_Table[Unit_Price],"Not Found")</f>
        <v>150</v>
      </c>
      <c r="I44" s="19">
        <f t="shared" si="0"/>
        <v>150</v>
      </c>
      <c r="J44" s="6" t="s">
        <v>41</v>
      </c>
      <c r="K44" s="6" t="s">
        <v>24</v>
      </c>
      <c r="L44" s="6" t="s">
        <v>25</v>
      </c>
      <c r="M44" s="6" t="s">
        <v>43</v>
      </c>
      <c r="N44" s="8">
        <v>45224</v>
      </c>
      <c r="O44" s="6" t="s">
        <v>27</v>
      </c>
      <c r="P44" s="6" t="s">
        <v>45</v>
      </c>
      <c r="Q44" t="str">
        <f>IF(COUNTIF(Customer_Master_Table[Customer_ID],C44)&gt;0,"Valid","Invalid")</f>
        <v>Valid</v>
      </c>
      <c r="R44" t="str">
        <f t="shared" si="1"/>
        <v>Unique</v>
      </c>
    </row>
    <row r="45" spans="1:18" ht="15" thickBot="1">
      <c r="A45" s="17" t="s">
        <v>157</v>
      </c>
      <c r="B45" s="8">
        <v>45221</v>
      </c>
      <c r="C45" s="6" t="s">
        <v>158</v>
      </c>
      <c r="D45" s="6" t="s">
        <v>48</v>
      </c>
      <c r="E45" s="6" t="str">
        <f>_xlfn.XLOOKUP(D45,Product_Master_Table[Product_ID],Product_Master_Table[Product_Name],"Not Found")</f>
        <v>Monitor</v>
      </c>
      <c r="F45" s="6" t="str">
        <f>_xlfn.XLOOKUP(D45,Product_Master_Table[Product_ID],Product_Master_Table[Category],"Not Found")</f>
        <v>Electronics</v>
      </c>
      <c r="G45" s="6">
        <v>2</v>
      </c>
      <c r="H45" s="6">
        <f>_xlfn.XLOOKUP(D45,Product_Master_Table[Product_ID],Product_Master_Table[Unit_Price],"Not Found")</f>
        <v>300</v>
      </c>
      <c r="I45" s="19">
        <f t="shared" si="0"/>
        <v>600</v>
      </c>
      <c r="J45" s="6" t="s">
        <v>23</v>
      </c>
      <c r="K45" s="6" t="s">
        <v>50</v>
      </c>
      <c r="L45" s="6" t="s">
        <v>51</v>
      </c>
      <c r="M45" s="6" t="s">
        <v>52</v>
      </c>
      <c r="N45" s="8">
        <v>45228</v>
      </c>
      <c r="O45" s="6" t="s">
        <v>27</v>
      </c>
      <c r="P45" s="6" t="s">
        <v>28</v>
      </c>
      <c r="Q45" t="str">
        <f>IF(COUNTIF(Customer_Master_Table[Customer_ID],C45)&gt;0,"Valid","Invalid")</f>
        <v>Valid</v>
      </c>
      <c r="R45" t="str">
        <f t="shared" si="1"/>
        <v>Unique</v>
      </c>
    </row>
    <row r="46" spans="1:18" ht="15" thickBot="1">
      <c r="A46" s="17" t="s">
        <v>159</v>
      </c>
      <c r="B46" s="8">
        <v>45222</v>
      </c>
      <c r="C46" s="6" t="s">
        <v>160</v>
      </c>
      <c r="D46" s="6" t="s">
        <v>55</v>
      </c>
      <c r="E46" s="6" t="str">
        <f>_xlfn.XLOOKUP(D46,Product_Master_Table[Product_ID],Product_Master_Table[Product_Name],"Not Found")</f>
        <v>Mechanical Keyboard</v>
      </c>
      <c r="F46" s="6" t="str">
        <f>_xlfn.XLOOKUP(D46,Product_Master_Table[Product_ID],Product_Master_Table[Category],"Not Found")</f>
        <v>Accessories</v>
      </c>
      <c r="G46" s="6">
        <v>1</v>
      </c>
      <c r="H46" s="6">
        <f>_xlfn.XLOOKUP(D46,Product_Master_Table[Product_ID],Product_Master_Table[Unit_Price],"Not Found")</f>
        <v>85</v>
      </c>
      <c r="I46" s="19">
        <f t="shared" si="0"/>
        <v>85</v>
      </c>
      <c r="J46" s="6" t="s">
        <v>33</v>
      </c>
      <c r="K46" s="6" t="s">
        <v>24</v>
      </c>
      <c r="L46" s="6" t="s">
        <v>25</v>
      </c>
      <c r="M46" s="6" t="s">
        <v>57</v>
      </c>
      <c r="N46" s="8">
        <v>45225</v>
      </c>
      <c r="O46" s="6" t="s">
        <v>58</v>
      </c>
      <c r="P46" s="6" t="s">
        <v>59</v>
      </c>
      <c r="Q46" t="str">
        <f>IF(COUNTIF(Customer_Master_Table[Customer_ID],C46)&gt;0,"Valid","Invalid")</f>
        <v>Valid</v>
      </c>
      <c r="R46" t="str">
        <f t="shared" si="1"/>
        <v>Unique</v>
      </c>
    </row>
    <row r="47" spans="1:18" ht="15" thickBot="1">
      <c r="A47" s="17" t="s">
        <v>161</v>
      </c>
      <c r="B47" s="8">
        <v>45222</v>
      </c>
      <c r="C47" s="6" t="s">
        <v>162</v>
      </c>
      <c r="D47" s="6" t="s">
        <v>62</v>
      </c>
      <c r="E47" s="6" t="str">
        <f>_xlfn.XLOOKUP(D47,Product_Master_Table[Product_ID],Product_Master_Table[Product_Name],"Not Found")</f>
        <v>Standing Desk</v>
      </c>
      <c r="F47" s="6" t="str">
        <f>_xlfn.XLOOKUP(D47,Product_Master_Table[Product_ID],Product_Master_Table[Category],"Not Found")</f>
        <v>Furniture</v>
      </c>
      <c r="G47" s="6">
        <v>3</v>
      </c>
      <c r="H47" s="6">
        <f>_xlfn.XLOOKUP(D47,Product_Master_Table[Product_ID],Product_Master_Table[Unit_Price],"Not Found")</f>
        <v>450</v>
      </c>
      <c r="I47" s="19">
        <f t="shared" si="0"/>
        <v>1350</v>
      </c>
      <c r="J47" s="6" t="s">
        <v>95</v>
      </c>
      <c r="K47" s="6" t="s">
        <v>24</v>
      </c>
      <c r="L47" s="6" t="s">
        <v>42</v>
      </c>
      <c r="M47" s="6" t="s">
        <v>64</v>
      </c>
      <c r="N47" s="8">
        <v>45229</v>
      </c>
      <c r="O47" s="6" t="s">
        <v>96</v>
      </c>
      <c r="P47" s="6" t="s">
        <v>35</v>
      </c>
      <c r="Q47" t="str">
        <f>IF(COUNTIF(Customer_Master_Table[Customer_ID],C47)&gt;0,"Valid","Invalid")</f>
        <v>Valid</v>
      </c>
      <c r="R47" t="str">
        <f t="shared" si="1"/>
        <v>Unique</v>
      </c>
    </row>
    <row r="48" spans="1:18" ht="15" thickBot="1">
      <c r="A48" s="17" t="s">
        <v>163</v>
      </c>
      <c r="B48" s="8">
        <v>45223</v>
      </c>
      <c r="C48" s="6" t="s">
        <v>164</v>
      </c>
      <c r="D48" s="6" t="s">
        <v>67</v>
      </c>
      <c r="E48" s="6" t="str">
        <f>_xlfn.XLOOKUP(D48,Product_Master_Table[Product_ID],Product_Master_Table[Product_Name],"Not Found")</f>
        <v>Smartphone</v>
      </c>
      <c r="F48" s="6" t="str">
        <f>_xlfn.XLOOKUP(D48,Product_Master_Table[Product_ID],Product_Master_Table[Category],"Not Found")</f>
        <v>Electronics</v>
      </c>
      <c r="G48" s="6">
        <v>1</v>
      </c>
      <c r="H48" s="6">
        <f>_xlfn.XLOOKUP(D48,Product_Master_Table[Product_ID],Product_Master_Table[Unit_Price],"Not Found")</f>
        <v>800</v>
      </c>
      <c r="I48" s="19">
        <f t="shared" si="0"/>
        <v>800</v>
      </c>
      <c r="J48" s="6" t="s">
        <v>69</v>
      </c>
      <c r="K48" s="6" t="s">
        <v>24</v>
      </c>
      <c r="L48" s="6" t="s">
        <v>25</v>
      </c>
      <c r="M48" s="6" t="s">
        <v>70</v>
      </c>
      <c r="N48" s="8">
        <v>45224</v>
      </c>
      <c r="O48" s="6" t="s">
        <v>44</v>
      </c>
      <c r="P48" s="6" t="s">
        <v>45</v>
      </c>
      <c r="Q48" t="str">
        <f>IF(COUNTIF(Customer_Master_Table[Customer_ID],C48)&gt;0,"Valid","Invalid")</f>
        <v>Valid</v>
      </c>
      <c r="R48" t="str">
        <f t="shared" si="1"/>
        <v>Unique</v>
      </c>
    </row>
    <row r="49" spans="1:18" ht="15" thickBot="1">
      <c r="A49" s="17" t="s">
        <v>165</v>
      </c>
      <c r="B49" s="8">
        <v>45223</v>
      </c>
      <c r="C49" s="6" t="s">
        <v>166</v>
      </c>
      <c r="D49" s="6" t="s">
        <v>73</v>
      </c>
      <c r="E49" s="6" t="str">
        <f>_xlfn.XLOOKUP(D49,Product_Master_Table[Product_ID],Product_Master_Table[Product_Name],"Not Found")</f>
        <v>Headphones</v>
      </c>
      <c r="F49" s="6" t="str">
        <f>_xlfn.XLOOKUP(D49,Product_Master_Table[Product_ID],Product_Master_Table[Category],"Not Found")</f>
        <v>Accessories</v>
      </c>
      <c r="G49" s="6">
        <v>1</v>
      </c>
      <c r="H49" s="6">
        <f>_xlfn.XLOOKUP(D49,Product_Master_Table[Product_ID],Product_Master_Table[Unit_Price],"Not Found")</f>
        <v>120</v>
      </c>
      <c r="I49" s="19">
        <f t="shared" si="0"/>
        <v>120</v>
      </c>
      <c r="J49" s="6" t="s">
        <v>23</v>
      </c>
      <c r="K49" s="6" t="s">
        <v>75</v>
      </c>
      <c r="L49" s="6" t="s">
        <v>76</v>
      </c>
      <c r="M49" s="6" t="s">
        <v>77</v>
      </c>
      <c r="N49" s="6" t="s">
        <v>78</v>
      </c>
      <c r="O49" s="6" t="s">
        <v>27</v>
      </c>
      <c r="P49" s="6" t="s">
        <v>28</v>
      </c>
      <c r="Q49" t="str">
        <f>IF(COUNTIF(Customer_Master_Table[Customer_ID],C49)&gt;0,"Valid","Invalid")</f>
        <v>Valid</v>
      </c>
      <c r="R49" t="str">
        <f t="shared" si="1"/>
        <v>Unique</v>
      </c>
    </row>
    <row r="50" spans="1:18" ht="15" thickBot="1">
      <c r="A50" s="17" t="s">
        <v>167</v>
      </c>
      <c r="B50" s="8">
        <v>45224</v>
      </c>
      <c r="C50" s="6" t="s">
        <v>168</v>
      </c>
      <c r="D50" s="6" t="s">
        <v>81</v>
      </c>
      <c r="E50" s="6" t="str">
        <f>_xlfn.XLOOKUP(D50,Product_Master_Table[Product_ID],Product_Master_Table[Product_Name],"Not Found")</f>
        <v>Tablet</v>
      </c>
      <c r="F50" s="6" t="str">
        <f>_xlfn.XLOOKUP(D50,Product_Master_Table[Product_ID],Product_Master_Table[Category],"Not Found")</f>
        <v>Electronics</v>
      </c>
      <c r="G50" s="6">
        <v>1</v>
      </c>
      <c r="H50" s="6">
        <f>_xlfn.XLOOKUP(D50,Product_Master_Table[Product_ID],Product_Master_Table[Unit_Price],"Not Found")</f>
        <v>400</v>
      </c>
      <c r="I50" s="19">
        <f t="shared" si="0"/>
        <v>400</v>
      </c>
      <c r="J50" s="6" t="s">
        <v>33</v>
      </c>
      <c r="K50" s="6" t="s">
        <v>24</v>
      </c>
      <c r="L50" s="6" t="s">
        <v>51</v>
      </c>
      <c r="M50" s="6" t="s">
        <v>83</v>
      </c>
      <c r="N50" s="8">
        <v>45230</v>
      </c>
      <c r="O50" s="6" t="s">
        <v>58</v>
      </c>
      <c r="P50" s="6" t="s">
        <v>59</v>
      </c>
      <c r="Q50" t="str">
        <f>IF(COUNTIF(Customer_Master_Table[Customer_ID],C50)&gt;0,"Valid","Invalid")</f>
        <v>Valid</v>
      </c>
      <c r="R50" t="str">
        <f t="shared" si="1"/>
        <v>Unique</v>
      </c>
    </row>
    <row r="51" spans="1:18" ht="15" thickBot="1">
      <c r="A51" s="17" t="s">
        <v>169</v>
      </c>
      <c r="B51" s="8">
        <v>45224</v>
      </c>
      <c r="C51" s="6" t="s">
        <v>170</v>
      </c>
      <c r="D51" s="6" t="s">
        <v>86</v>
      </c>
      <c r="E51" s="6" t="str">
        <f>_xlfn.XLOOKUP(D51,Product_Master_Table[Product_ID],Product_Master_Table[Product_Name],"Not Found")</f>
        <v>Desk Lamp</v>
      </c>
      <c r="F51" s="6" t="str">
        <f>_xlfn.XLOOKUP(D51,Product_Master_Table[Product_ID],Product_Master_Table[Category],"Not Found")</f>
        <v>Furniture</v>
      </c>
      <c r="G51" s="6">
        <v>4</v>
      </c>
      <c r="H51" s="6">
        <f>_xlfn.XLOOKUP(D51,Product_Master_Table[Product_ID],Product_Master_Table[Unit_Price],"Not Found")</f>
        <v>45</v>
      </c>
      <c r="I51" s="19">
        <f t="shared" si="0"/>
        <v>180</v>
      </c>
      <c r="J51" s="6" t="s">
        <v>23</v>
      </c>
      <c r="K51" s="6" t="s">
        <v>24</v>
      </c>
      <c r="L51" s="6" t="s">
        <v>42</v>
      </c>
      <c r="M51" s="6" t="s">
        <v>88</v>
      </c>
      <c r="N51" s="8">
        <v>45229</v>
      </c>
      <c r="O51" s="6" t="s">
        <v>27</v>
      </c>
      <c r="P51" s="6" t="s">
        <v>35</v>
      </c>
      <c r="Q51" t="str">
        <f>IF(COUNTIF(Customer_Master_Table[Customer_ID],C51)&gt;0,"Valid","Invalid")</f>
        <v>Valid</v>
      </c>
      <c r="R51" t="str">
        <f t="shared" si="1"/>
        <v>Unique</v>
      </c>
    </row>
    <row r="52" spans="1:18">
      <c r="J52" s="15"/>
    </row>
    <row r="70" spans="6:6" ht="15" thickBot="1"/>
    <row r="71" spans="6:6" ht="15" thickBot="1">
      <c r="F71" s="6"/>
    </row>
    <row r="72" spans="6:6" ht="15" thickBot="1">
      <c r="F72" s="6"/>
    </row>
    <row r="73" spans="6:6" ht="15" thickBot="1">
      <c r="F73" s="6"/>
    </row>
    <row r="74" spans="6:6" ht="15" thickBot="1">
      <c r="F74" s="6"/>
    </row>
    <row r="75" spans="6:6" ht="15" thickBot="1">
      <c r="F75" s="6"/>
    </row>
    <row r="76" spans="6:6" ht="15" thickBot="1">
      <c r="F76" s="6"/>
    </row>
  </sheetData>
  <conditionalFormatting sqref="R2:R51">
    <cfRule type="containsText" dxfId="0" priority="1" operator="containsText" text="Duplicate">
      <formula>NOT(ISERROR(SEARCH("Duplicate",R2)))</formula>
    </cfRule>
  </conditionalFormatting>
  <dataValidations count="5">
    <dataValidation type="list" allowBlank="1" showInputMessage="1" showErrorMessage="1" sqref="J1:J1048576" xr:uid="{AB33FE25-39FE-425E-8E22-9C4090219597}">
      <formula1>"Credit Card,Debit Card,PayPal,Cash,Bank Transfer"</formula1>
    </dataValidation>
    <dataValidation type="list" allowBlank="1" showInputMessage="1" showErrorMessage="1" sqref="K1:K1048576" xr:uid="{6FFB1A73-648D-4FAC-A427-0227A7A9C5CA}">
      <formula1>"Paid,Pending,Failed,Refunded"</formula1>
    </dataValidation>
    <dataValidation type="list" allowBlank="1" showInputMessage="1" showErrorMessage="1" sqref="L1:L1048576" xr:uid="{37CF5BC1-B024-4BD1-996E-A3868F1E499F}">
      <formula1>"Pending,Processing,Shipped,Delivered,Cancelled"</formula1>
    </dataValidation>
    <dataValidation type="list" allowBlank="1" showInputMessage="1" showErrorMessage="1" sqref="O1:O1048576" xr:uid="{3F0CE8C4-C262-43D3-BF05-EA58ED89B890}">
      <formula1>"Online,In-Store,App,B2B"</formula1>
    </dataValidation>
    <dataValidation type="list" allowBlank="1" showInputMessage="1" showErrorMessage="1" sqref="P1:P1048576" xr:uid="{B6B65144-1BE2-4D2B-9B42-6490EC5BEDED}">
      <formula1>"Alice_B,Bob_M,Charlie_D,Eva_R"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1791-48B7-41D0-8D57-4ADD73F745DA}">
  <dimension ref="A1:H51"/>
  <sheetViews>
    <sheetView topLeftCell="A33" workbookViewId="0">
      <selection activeCell="L43" sqref="L43"/>
    </sheetView>
  </sheetViews>
  <sheetFormatPr defaultRowHeight="14.4"/>
  <cols>
    <col min="1" max="1" width="13.77734375" style="7" customWidth="1"/>
    <col min="2" max="2" width="17" style="7" customWidth="1"/>
    <col min="3" max="3" width="9" style="7" customWidth="1"/>
    <col min="4" max="4" width="6.109375" style="7" customWidth="1"/>
    <col min="5" max="5" width="11" style="7" bestFit="1" customWidth="1"/>
    <col min="6" max="6" width="16.109375" style="7" bestFit="1" customWidth="1"/>
    <col min="7" max="7" width="8.88671875" style="7"/>
    <col min="8" max="8" width="16.109375" style="7" customWidth="1"/>
    <col min="9" max="16384" width="8.88671875" style="7"/>
  </cols>
  <sheetData>
    <row r="1" spans="1:8">
      <c r="A1" s="10" t="s">
        <v>2</v>
      </c>
      <c r="B1" s="10" t="s">
        <v>171</v>
      </c>
      <c r="C1" s="10" t="s">
        <v>172</v>
      </c>
      <c r="D1" s="10" t="s">
        <v>173</v>
      </c>
      <c r="E1" s="10" t="s">
        <v>174</v>
      </c>
      <c r="F1" s="10" t="s">
        <v>175</v>
      </c>
      <c r="G1" s="10" t="s">
        <v>176</v>
      </c>
      <c r="H1" s="10" t="s">
        <v>177</v>
      </c>
    </row>
    <row r="2" spans="1:8">
      <c r="A2" s="7" t="s">
        <v>20</v>
      </c>
      <c r="B2" s="7" t="s">
        <v>178</v>
      </c>
      <c r="C2" s="7" t="s">
        <v>179</v>
      </c>
      <c r="D2" s="7">
        <v>28</v>
      </c>
      <c r="E2" s="13">
        <v>9876501001</v>
      </c>
      <c r="F2" s="14" t="s">
        <v>180</v>
      </c>
      <c r="G2" s="7" t="s">
        <v>26</v>
      </c>
      <c r="H2" s="7" t="s">
        <v>181</v>
      </c>
    </row>
    <row r="3" spans="1:8">
      <c r="A3" s="7" t="s">
        <v>30</v>
      </c>
      <c r="B3" s="7" t="s">
        <v>182</v>
      </c>
      <c r="C3" s="7" t="s">
        <v>183</v>
      </c>
      <c r="D3" s="7">
        <v>25</v>
      </c>
      <c r="E3" s="13">
        <v>9876501002</v>
      </c>
      <c r="F3" s="14" t="s">
        <v>184</v>
      </c>
      <c r="G3" s="7" t="s">
        <v>34</v>
      </c>
      <c r="H3" s="7" t="s">
        <v>185</v>
      </c>
    </row>
    <row r="4" spans="1:8">
      <c r="A4" s="7" t="s">
        <v>37</v>
      </c>
      <c r="B4" s="7" t="s">
        <v>186</v>
      </c>
      <c r="C4" s="7" t="s">
        <v>179</v>
      </c>
      <c r="D4" s="7">
        <v>32</v>
      </c>
      <c r="E4" s="13">
        <v>9876501003</v>
      </c>
      <c r="F4" s="14" t="s">
        <v>187</v>
      </c>
      <c r="G4" s="7" t="s">
        <v>43</v>
      </c>
      <c r="H4" s="7" t="s">
        <v>181</v>
      </c>
    </row>
    <row r="5" spans="1:8">
      <c r="A5" s="7" t="s">
        <v>47</v>
      </c>
      <c r="B5" s="7" t="s">
        <v>188</v>
      </c>
      <c r="C5" s="7" t="s">
        <v>183</v>
      </c>
      <c r="D5" s="7">
        <v>27</v>
      </c>
      <c r="E5" s="13">
        <v>9876501004</v>
      </c>
      <c r="F5" s="14" t="s">
        <v>189</v>
      </c>
      <c r="G5" s="7" t="s">
        <v>52</v>
      </c>
      <c r="H5" s="7" t="s">
        <v>190</v>
      </c>
    </row>
    <row r="6" spans="1:8">
      <c r="A6" s="7" t="s">
        <v>54</v>
      </c>
      <c r="B6" s="7" t="s">
        <v>191</v>
      </c>
      <c r="C6" s="7" t="s">
        <v>179</v>
      </c>
      <c r="D6" s="7">
        <v>35</v>
      </c>
      <c r="E6" s="13">
        <v>9876501005</v>
      </c>
      <c r="F6" s="14" t="s">
        <v>192</v>
      </c>
      <c r="G6" s="7" t="s">
        <v>57</v>
      </c>
      <c r="H6" s="7" t="s">
        <v>185</v>
      </c>
    </row>
    <row r="7" spans="1:8">
      <c r="A7" s="7" t="s">
        <v>61</v>
      </c>
      <c r="B7" s="7" t="s">
        <v>193</v>
      </c>
      <c r="C7" s="7" t="s">
        <v>183</v>
      </c>
      <c r="D7" s="7">
        <v>29</v>
      </c>
      <c r="E7" s="13">
        <v>9876501006</v>
      </c>
      <c r="F7" s="14" t="s">
        <v>194</v>
      </c>
      <c r="G7" s="7" t="s">
        <v>64</v>
      </c>
      <c r="H7" s="7" t="s">
        <v>181</v>
      </c>
    </row>
    <row r="8" spans="1:8">
      <c r="A8" s="7" t="s">
        <v>66</v>
      </c>
      <c r="B8" s="7" t="s">
        <v>195</v>
      </c>
      <c r="C8" s="7" t="s">
        <v>179</v>
      </c>
      <c r="D8" s="7">
        <v>31</v>
      </c>
      <c r="E8" s="13">
        <v>9876501007</v>
      </c>
      <c r="F8" s="14" t="s">
        <v>196</v>
      </c>
      <c r="G8" s="7" t="s">
        <v>70</v>
      </c>
      <c r="H8" s="7" t="s">
        <v>185</v>
      </c>
    </row>
    <row r="9" spans="1:8">
      <c r="A9" s="7" t="s">
        <v>72</v>
      </c>
      <c r="B9" s="7" t="s">
        <v>197</v>
      </c>
      <c r="C9" s="7" t="s">
        <v>183</v>
      </c>
      <c r="D9" s="7">
        <v>24</v>
      </c>
      <c r="E9" s="13">
        <v>9876501008</v>
      </c>
      <c r="F9" s="14" t="s">
        <v>198</v>
      </c>
      <c r="G9" s="7" t="s">
        <v>77</v>
      </c>
      <c r="H9" s="7" t="s">
        <v>190</v>
      </c>
    </row>
    <row r="10" spans="1:8">
      <c r="A10" s="7" t="s">
        <v>80</v>
      </c>
      <c r="B10" s="7" t="s">
        <v>199</v>
      </c>
      <c r="C10" s="7" t="s">
        <v>179</v>
      </c>
      <c r="D10" s="7">
        <v>30</v>
      </c>
      <c r="E10" s="13">
        <v>9876501009</v>
      </c>
      <c r="F10" s="14" t="s">
        <v>200</v>
      </c>
      <c r="G10" s="7" t="s">
        <v>83</v>
      </c>
      <c r="H10" s="7" t="s">
        <v>181</v>
      </c>
    </row>
    <row r="11" spans="1:8">
      <c r="A11" s="7" t="s">
        <v>85</v>
      </c>
      <c r="B11" s="7" t="s">
        <v>201</v>
      </c>
      <c r="C11" s="7" t="s">
        <v>183</v>
      </c>
      <c r="D11" s="7">
        <v>26</v>
      </c>
      <c r="E11" s="13">
        <v>9876501010</v>
      </c>
      <c r="F11" s="14" t="s">
        <v>202</v>
      </c>
      <c r="G11" s="7" t="s">
        <v>88</v>
      </c>
      <c r="H11" s="7" t="s">
        <v>190</v>
      </c>
    </row>
    <row r="12" spans="1:8">
      <c r="A12" s="7" t="s">
        <v>90</v>
      </c>
      <c r="B12" s="7" t="s">
        <v>214</v>
      </c>
      <c r="C12" s="7" t="s">
        <v>183</v>
      </c>
      <c r="D12" s="7">
        <v>28</v>
      </c>
      <c r="E12" s="13">
        <v>9876501011</v>
      </c>
      <c r="F12" s="14" t="s">
        <v>215</v>
      </c>
      <c r="G12" s="7" t="s">
        <v>26</v>
      </c>
      <c r="H12" s="7" t="s">
        <v>181</v>
      </c>
    </row>
    <row r="13" spans="1:8">
      <c r="A13" s="7" t="s">
        <v>92</v>
      </c>
      <c r="B13" s="7" t="s">
        <v>216</v>
      </c>
      <c r="C13" s="7" t="s">
        <v>179</v>
      </c>
      <c r="D13" s="7">
        <v>34</v>
      </c>
      <c r="E13" s="13">
        <v>9876501012</v>
      </c>
      <c r="F13" s="14" t="s">
        <v>217</v>
      </c>
      <c r="G13" s="7" t="s">
        <v>34</v>
      </c>
      <c r="H13" s="7" t="s">
        <v>185</v>
      </c>
    </row>
    <row r="14" spans="1:8">
      <c r="A14" s="7" t="s">
        <v>94</v>
      </c>
      <c r="B14" s="7" t="s">
        <v>218</v>
      </c>
      <c r="C14" s="7" t="s">
        <v>183</v>
      </c>
      <c r="D14" s="7">
        <v>26</v>
      </c>
      <c r="E14" s="13">
        <v>9876501013</v>
      </c>
      <c r="F14" s="14" t="s">
        <v>219</v>
      </c>
      <c r="G14" s="7" t="s">
        <v>43</v>
      </c>
      <c r="H14" s="7" t="s">
        <v>190</v>
      </c>
    </row>
    <row r="15" spans="1:8">
      <c r="A15" s="7" t="s">
        <v>98</v>
      </c>
      <c r="B15" s="7" t="s">
        <v>220</v>
      </c>
      <c r="C15" s="7" t="s">
        <v>179</v>
      </c>
      <c r="D15" s="7">
        <v>31</v>
      </c>
      <c r="E15" s="13">
        <v>9876501014</v>
      </c>
      <c r="F15" s="14" t="s">
        <v>221</v>
      </c>
      <c r="G15" s="7" t="s">
        <v>52</v>
      </c>
      <c r="H15" s="7" t="s">
        <v>181</v>
      </c>
    </row>
    <row r="16" spans="1:8">
      <c r="A16" s="7" t="s">
        <v>100</v>
      </c>
      <c r="B16" s="7" t="s">
        <v>222</v>
      </c>
      <c r="C16" s="7" t="s">
        <v>183</v>
      </c>
      <c r="D16" s="7">
        <v>29</v>
      </c>
      <c r="E16" s="13">
        <v>9876501015</v>
      </c>
      <c r="F16" s="14" t="s">
        <v>223</v>
      </c>
      <c r="G16" s="7" t="s">
        <v>57</v>
      </c>
      <c r="H16" s="7" t="s">
        <v>185</v>
      </c>
    </row>
    <row r="17" spans="1:8">
      <c r="A17" s="7" t="s">
        <v>102</v>
      </c>
      <c r="B17" s="7" t="s">
        <v>224</v>
      </c>
      <c r="C17" s="7" t="s">
        <v>179</v>
      </c>
      <c r="D17" s="7">
        <v>27</v>
      </c>
      <c r="E17" s="13">
        <v>9876501016</v>
      </c>
      <c r="F17" s="14" t="s">
        <v>225</v>
      </c>
      <c r="G17" s="7" t="s">
        <v>64</v>
      </c>
      <c r="H17" s="7" t="s">
        <v>190</v>
      </c>
    </row>
    <row r="18" spans="1:8">
      <c r="A18" s="7" t="s">
        <v>104</v>
      </c>
      <c r="B18" s="7" t="s">
        <v>226</v>
      </c>
      <c r="C18" s="7" t="s">
        <v>183</v>
      </c>
      <c r="D18" s="7">
        <v>33</v>
      </c>
      <c r="E18" s="13">
        <v>9876501017</v>
      </c>
      <c r="F18" s="14" t="s">
        <v>227</v>
      </c>
      <c r="G18" s="7" t="s">
        <v>70</v>
      </c>
      <c r="H18" s="7" t="s">
        <v>181</v>
      </c>
    </row>
    <row r="19" spans="1:8">
      <c r="A19" s="7" t="s">
        <v>106</v>
      </c>
      <c r="B19" s="7" t="s">
        <v>228</v>
      </c>
      <c r="C19" s="7" t="s">
        <v>179</v>
      </c>
      <c r="D19" s="7">
        <v>30</v>
      </c>
      <c r="E19" s="13">
        <v>9876501018</v>
      </c>
      <c r="F19" s="14" t="s">
        <v>229</v>
      </c>
      <c r="G19" s="7" t="s">
        <v>77</v>
      </c>
      <c r="H19" s="7" t="s">
        <v>185</v>
      </c>
    </row>
    <row r="20" spans="1:8">
      <c r="A20" s="7" t="s">
        <v>108</v>
      </c>
      <c r="B20" s="7" t="s">
        <v>230</v>
      </c>
      <c r="C20" s="7" t="s">
        <v>183</v>
      </c>
      <c r="D20" s="7">
        <v>25</v>
      </c>
      <c r="E20" s="13">
        <v>9876501019</v>
      </c>
      <c r="F20" s="14" t="s">
        <v>231</v>
      </c>
      <c r="G20" s="7" t="s">
        <v>83</v>
      </c>
      <c r="H20" s="7" t="s">
        <v>190</v>
      </c>
    </row>
    <row r="21" spans="1:8">
      <c r="A21" s="7" t="s">
        <v>110</v>
      </c>
      <c r="B21" s="7" t="s">
        <v>232</v>
      </c>
      <c r="C21" s="7" t="s">
        <v>179</v>
      </c>
      <c r="D21" s="7">
        <v>36</v>
      </c>
      <c r="E21" s="13">
        <v>9876501020</v>
      </c>
      <c r="F21" s="14" t="s">
        <v>233</v>
      </c>
      <c r="G21" s="7" t="s">
        <v>88</v>
      </c>
      <c r="H21" s="7" t="s">
        <v>181</v>
      </c>
    </row>
    <row r="22" spans="1:8">
      <c r="A22" s="7" t="s">
        <v>112</v>
      </c>
      <c r="B22" s="7" t="s">
        <v>234</v>
      </c>
      <c r="C22" s="7" t="s">
        <v>179</v>
      </c>
      <c r="D22" s="7">
        <v>32</v>
      </c>
      <c r="E22" s="13">
        <v>9876501021</v>
      </c>
      <c r="F22" s="14" t="s">
        <v>235</v>
      </c>
      <c r="G22" s="7" t="s">
        <v>26</v>
      </c>
      <c r="H22" s="7" t="s">
        <v>185</v>
      </c>
    </row>
    <row r="23" spans="1:8">
      <c r="A23" s="7" t="s">
        <v>114</v>
      </c>
      <c r="B23" s="7" t="s">
        <v>236</v>
      </c>
      <c r="C23" s="7" t="s">
        <v>183</v>
      </c>
      <c r="D23" s="7">
        <v>28</v>
      </c>
      <c r="E23" s="13">
        <v>9876501022</v>
      </c>
      <c r="F23" s="14" t="s">
        <v>237</v>
      </c>
      <c r="G23" s="7" t="s">
        <v>34</v>
      </c>
      <c r="H23" s="7" t="s">
        <v>181</v>
      </c>
    </row>
    <row r="24" spans="1:8">
      <c r="A24" s="7" t="s">
        <v>116</v>
      </c>
      <c r="B24" s="7" t="s">
        <v>238</v>
      </c>
      <c r="C24" s="7" t="s">
        <v>179</v>
      </c>
      <c r="D24" s="7">
        <v>35</v>
      </c>
      <c r="E24" s="13">
        <v>9876501023</v>
      </c>
      <c r="F24" s="14" t="s">
        <v>239</v>
      </c>
      <c r="G24" s="7" t="s">
        <v>43</v>
      </c>
      <c r="H24" s="7" t="s">
        <v>190</v>
      </c>
    </row>
    <row r="25" spans="1:8">
      <c r="A25" s="7" t="s">
        <v>118</v>
      </c>
      <c r="B25" s="7" t="s">
        <v>240</v>
      </c>
      <c r="C25" s="7" t="s">
        <v>183</v>
      </c>
      <c r="D25" s="7">
        <v>27</v>
      </c>
      <c r="E25" s="13">
        <v>9876501024</v>
      </c>
      <c r="F25" s="14" t="s">
        <v>241</v>
      </c>
      <c r="G25" s="7" t="s">
        <v>52</v>
      </c>
      <c r="H25" s="7" t="s">
        <v>181</v>
      </c>
    </row>
    <row r="26" spans="1:8">
      <c r="A26" s="7" t="s">
        <v>120</v>
      </c>
      <c r="B26" s="7" t="s">
        <v>242</v>
      </c>
      <c r="C26" s="7" t="s">
        <v>179</v>
      </c>
      <c r="D26" s="7">
        <v>30</v>
      </c>
      <c r="E26" s="13">
        <v>9876501025</v>
      </c>
      <c r="F26" s="14" t="s">
        <v>243</v>
      </c>
      <c r="G26" s="7" t="s">
        <v>57</v>
      </c>
      <c r="H26" s="7" t="s">
        <v>185</v>
      </c>
    </row>
    <row r="27" spans="1:8">
      <c r="A27" s="7" t="s">
        <v>122</v>
      </c>
      <c r="B27" s="7" t="s">
        <v>244</v>
      </c>
      <c r="C27" s="7" t="s">
        <v>179</v>
      </c>
      <c r="D27" s="7">
        <v>29</v>
      </c>
      <c r="E27" s="13">
        <v>9876501026</v>
      </c>
      <c r="F27" s="14" t="s">
        <v>245</v>
      </c>
      <c r="G27" s="7" t="s">
        <v>26</v>
      </c>
      <c r="H27" s="7" t="s">
        <v>181</v>
      </c>
    </row>
    <row r="28" spans="1:8">
      <c r="A28" s="7" t="s">
        <v>124</v>
      </c>
      <c r="B28" s="7" t="s">
        <v>246</v>
      </c>
      <c r="C28" s="7" t="s">
        <v>183</v>
      </c>
      <c r="D28" s="7">
        <v>26</v>
      </c>
      <c r="E28" s="13">
        <v>9876501027</v>
      </c>
      <c r="F28" s="14" t="s">
        <v>247</v>
      </c>
      <c r="G28" s="7" t="s">
        <v>34</v>
      </c>
      <c r="H28" s="7" t="s">
        <v>185</v>
      </c>
    </row>
    <row r="29" spans="1:8">
      <c r="A29" s="7" t="s">
        <v>126</v>
      </c>
      <c r="B29" s="7" t="s">
        <v>248</v>
      </c>
      <c r="C29" s="7" t="s">
        <v>179</v>
      </c>
      <c r="D29" s="7">
        <v>33</v>
      </c>
      <c r="E29" s="13">
        <v>9876501028</v>
      </c>
      <c r="F29" s="14" t="s">
        <v>249</v>
      </c>
      <c r="G29" s="7" t="s">
        <v>43</v>
      </c>
      <c r="H29" s="7" t="s">
        <v>181</v>
      </c>
    </row>
    <row r="30" spans="1:8">
      <c r="A30" s="7" t="s">
        <v>128</v>
      </c>
      <c r="B30" s="7" t="s">
        <v>250</v>
      </c>
      <c r="C30" s="7" t="s">
        <v>183</v>
      </c>
      <c r="D30" s="7">
        <v>24</v>
      </c>
      <c r="E30" s="13">
        <v>9876501029</v>
      </c>
      <c r="F30" s="14" t="s">
        <v>251</v>
      </c>
      <c r="G30" s="7" t="s">
        <v>52</v>
      </c>
      <c r="H30" s="7" t="s">
        <v>190</v>
      </c>
    </row>
    <row r="31" spans="1:8">
      <c r="A31" s="7" t="s">
        <v>130</v>
      </c>
      <c r="B31" s="7" t="s">
        <v>252</v>
      </c>
      <c r="C31" s="7" t="s">
        <v>179</v>
      </c>
      <c r="D31" s="7">
        <v>37</v>
      </c>
      <c r="E31" s="13">
        <v>9876501030</v>
      </c>
      <c r="F31" s="14" t="s">
        <v>253</v>
      </c>
      <c r="G31" s="7" t="s">
        <v>57</v>
      </c>
      <c r="H31" s="7" t="s">
        <v>185</v>
      </c>
    </row>
    <row r="32" spans="1:8">
      <c r="A32" s="7" t="s">
        <v>132</v>
      </c>
      <c r="B32" s="7" t="s">
        <v>254</v>
      </c>
      <c r="C32" s="7" t="s">
        <v>183</v>
      </c>
      <c r="D32" s="7">
        <v>30</v>
      </c>
      <c r="E32" s="13">
        <v>9876501031</v>
      </c>
      <c r="F32" s="14" t="s">
        <v>255</v>
      </c>
      <c r="G32" s="7" t="s">
        <v>64</v>
      </c>
      <c r="H32" s="7" t="s">
        <v>181</v>
      </c>
    </row>
    <row r="33" spans="1:8">
      <c r="A33" s="7" t="s">
        <v>134</v>
      </c>
      <c r="B33" s="7" t="s">
        <v>256</v>
      </c>
      <c r="C33" s="7" t="s">
        <v>179</v>
      </c>
      <c r="D33" s="7">
        <v>28</v>
      </c>
      <c r="E33" s="13">
        <v>9876501032</v>
      </c>
      <c r="F33" s="14" t="s">
        <v>257</v>
      </c>
      <c r="G33" s="7" t="s">
        <v>70</v>
      </c>
      <c r="H33" s="7" t="s">
        <v>190</v>
      </c>
    </row>
    <row r="34" spans="1:8">
      <c r="A34" s="7" t="s">
        <v>136</v>
      </c>
      <c r="B34" s="7" t="s">
        <v>258</v>
      </c>
      <c r="C34" s="7" t="s">
        <v>183</v>
      </c>
      <c r="D34" s="7">
        <v>32</v>
      </c>
      <c r="E34" s="13">
        <v>9876501033</v>
      </c>
      <c r="F34" s="14" t="s">
        <v>259</v>
      </c>
      <c r="G34" s="7" t="s">
        <v>77</v>
      </c>
      <c r="H34" s="7" t="s">
        <v>185</v>
      </c>
    </row>
    <row r="35" spans="1:8">
      <c r="A35" s="7" t="s">
        <v>138</v>
      </c>
      <c r="B35" s="7" t="s">
        <v>260</v>
      </c>
      <c r="C35" s="7" t="s">
        <v>179</v>
      </c>
      <c r="D35" s="7">
        <v>27</v>
      </c>
      <c r="E35" s="13">
        <v>9876501034</v>
      </c>
      <c r="F35" s="14" t="s">
        <v>261</v>
      </c>
      <c r="G35" s="7" t="s">
        <v>83</v>
      </c>
      <c r="H35" s="7" t="s">
        <v>181</v>
      </c>
    </row>
    <row r="36" spans="1:8">
      <c r="A36" s="7" t="s">
        <v>140</v>
      </c>
      <c r="B36" s="7" t="s">
        <v>262</v>
      </c>
      <c r="C36" s="7" t="s">
        <v>183</v>
      </c>
      <c r="D36" s="7">
        <v>29</v>
      </c>
      <c r="E36" s="13">
        <v>9876501035</v>
      </c>
      <c r="F36" s="14" t="s">
        <v>263</v>
      </c>
      <c r="G36" s="7" t="s">
        <v>88</v>
      </c>
      <c r="H36" s="7" t="s">
        <v>190</v>
      </c>
    </row>
    <row r="37" spans="1:8">
      <c r="A37" s="7" t="s">
        <v>142</v>
      </c>
      <c r="B37" s="7" t="s">
        <v>264</v>
      </c>
      <c r="C37" s="7" t="s">
        <v>179</v>
      </c>
      <c r="D37" s="7">
        <v>35</v>
      </c>
      <c r="E37" s="13">
        <v>9876501036</v>
      </c>
      <c r="F37" s="14" t="s">
        <v>265</v>
      </c>
      <c r="G37" s="7" t="s">
        <v>26</v>
      </c>
      <c r="H37" s="7" t="s">
        <v>185</v>
      </c>
    </row>
    <row r="38" spans="1:8">
      <c r="A38" s="7" t="s">
        <v>144</v>
      </c>
      <c r="B38" s="7" t="s">
        <v>266</v>
      </c>
      <c r="C38" s="7" t="s">
        <v>183</v>
      </c>
      <c r="D38" s="7">
        <v>25</v>
      </c>
      <c r="E38" s="13">
        <v>9876501037</v>
      </c>
      <c r="F38" s="14" t="s">
        <v>267</v>
      </c>
      <c r="G38" s="7" t="s">
        <v>34</v>
      </c>
      <c r="H38" s="7" t="s">
        <v>181</v>
      </c>
    </row>
    <row r="39" spans="1:8">
      <c r="A39" s="7" t="s">
        <v>146</v>
      </c>
      <c r="B39" s="7" t="s">
        <v>268</v>
      </c>
      <c r="C39" s="7" t="s">
        <v>179</v>
      </c>
      <c r="D39" s="7">
        <v>31</v>
      </c>
      <c r="E39" s="13">
        <v>9876501038</v>
      </c>
      <c r="F39" s="14" t="s">
        <v>269</v>
      </c>
      <c r="G39" s="7" t="s">
        <v>43</v>
      </c>
      <c r="H39" s="7" t="s">
        <v>190</v>
      </c>
    </row>
    <row r="40" spans="1:8">
      <c r="A40" s="7" t="s">
        <v>148</v>
      </c>
      <c r="B40" s="7" t="s">
        <v>270</v>
      </c>
      <c r="C40" s="7" t="s">
        <v>183</v>
      </c>
      <c r="D40" s="7">
        <v>28</v>
      </c>
      <c r="E40" s="13">
        <v>9876501039</v>
      </c>
      <c r="F40" s="14" t="s">
        <v>271</v>
      </c>
      <c r="G40" s="7" t="s">
        <v>52</v>
      </c>
      <c r="H40" s="7" t="s">
        <v>185</v>
      </c>
    </row>
    <row r="41" spans="1:8">
      <c r="A41" s="7" t="s">
        <v>150</v>
      </c>
      <c r="B41" s="7" t="s">
        <v>272</v>
      </c>
      <c r="C41" s="7" t="s">
        <v>179</v>
      </c>
      <c r="D41" s="7">
        <v>34</v>
      </c>
      <c r="E41" s="13">
        <v>9876501040</v>
      </c>
      <c r="F41" s="14" t="s">
        <v>273</v>
      </c>
      <c r="G41" s="7" t="s">
        <v>57</v>
      </c>
      <c r="H41" s="7" t="s">
        <v>181</v>
      </c>
    </row>
    <row r="42" spans="1:8">
      <c r="A42" s="7" t="s">
        <v>152</v>
      </c>
      <c r="B42" s="7" t="s">
        <v>274</v>
      </c>
      <c r="C42" s="7" t="s">
        <v>183</v>
      </c>
      <c r="D42" s="7">
        <v>27</v>
      </c>
      <c r="E42" s="13">
        <v>9876501041</v>
      </c>
      <c r="F42" s="14" t="s">
        <v>275</v>
      </c>
      <c r="G42" s="7" t="s">
        <v>64</v>
      </c>
      <c r="H42" s="7" t="s">
        <v>190</v>
      </c>
    </row>
    <row r="43" spans="1:8">
      <c r="A43" s="7" t="s">
        <v>154</v>
      </c>
      <c r="B43" s="7" t="s">
        <v>276</v>
      </c>
      <c r="C43" s="7" t="s">
        <v>179</v>
      </c>
      <c r="D43" s="7">
        <v>30</v>
      </c>
      <c r="E43" s="13">
        <v>9876501042</v>
      </c>
      <c r="F43" s="14" t="s">
        <v>277</v>
      </c>
      <c r="G43" s="7" t="s">
        <v>70</v>
      </c>
      <c r="H43" s="7" t="s">
        <v>185</v>
      </c>
    </row>
    <row r="44" spans="1:8">
      <c r="A44" s="7" t="s">
        <v>156</v>
      </c>
      <c r="B44" s="7" t="s">
        <v>278</v>
      </c>
      <c r="C44" s="7" t="s">
        <v>183</v>
      </c>
      <c r="D44" s="7">
        <v>26</v>
      </c>
      <c r="E44" s="13">
        <v>9876501043</v>
      </c>
      <c r="F44" s="14" t="s">
        <v>279</v>
      </c>
      <c r="G44" s="7" t="s">
        <v>77</v>
      </c>
      <c r="H44" s="7" t="s">
        <v>181</v>
      </c>
    </row>
    <row r="45" spans="1:8">
      <c r="A45" s="7" t="s">
        <v>158</v>
      </c>
      <c r="B45" s="7" t="s">
        <v>280</v>
      </c>
      <c r="C45" s="7" t="s">
        <v>179</v>
      </c>
      <c r="D45" s="7">
        <v>36</v>
      </c>
      <c r="E45" s="13">
        <v>9876501044</v>
      </c>
      <c r="F45" s="14" t="s">
        <v>281</v>
      </c>
      <c r="G45" s="7" t="s">
        <v>83</v>
      </c>
      <c r="H45" s="7" t="s">
        <v>190</v>
      </c>
    </row>
    <row r="46" spans="1:8">
      <c r="A46" s="7" t="s">
        <v>160</v>
      </c>
      <c r="B46" s="7" t="s">
        <v>282</v>
      </c>
      <c r="C46" s="7" t="s">
        <v>183</v>
      </c>
      <c r="D46" s="7">
        <v>29</v>
      </c>
      <c r="E46" s="13">
        <v>9876501045</v>
      </c>
      <c r="F46" s="14" t="s">
        <v>283</v>
      </c>
      <c r="G46" s="7" t="s">
        <v>88</v>
      </c>
      <c r="H46" s="7" t="s">
        <v>185</v>
      </c>
    </row>
    <row r="47" spans="1:8">
      <c r="A47" s="7" t="s">
        <v>162</v>
      </c>
      <c r="B47" s="7" t="s">
        <v>284</v>
      </c>
      <c r="C47" s="7" t="s">
        <v>179</v>
      </c>
      <c r="D47" s="7">
        <v>32</v>
      </c>
      <c r="E47" s="13">
        <v>9876501046</v>
      </c>
      <c r="F47" s="14" t="s">
        <v>285</v>
      </c>
      <c r="G47" s="7" t="s">
        <v>26</v>
      </c>
      <c r="H47" s="7" t="s">
        <v>181</v>
      </c>
    </row>
    <row r="48" spans="1:8">
      <c r="A48" s="7" t="s">
        <v>164</v>
      </c>
      <c r="B48" s="7" t="s">
        <v>286</v>
      </c>
      <c r="C48" s="7" t="s">
        <v>183</v>
      </c>
      <c r="D48" s="7">
        <v>24</v>
      </c>
      <c r="E48" s="13">
        <v>9876501047</v>
      </c>
      <c r="F48" s="14" t="s">
        <v>287</v>
      </c>
      <c r="G48" s="7" t="s">
        <v>34</v>
      </c>
      <c r="H48" s="7" t="s">
        <v>190</v>
      </c>
    </row>
    <row r="49" spans="1:8">
      <c r="A49" s="7" t="s">
        <v>166</v>
      </c>
      <c r="B49" s="7" t="s">
        <v>288</v>
      </c>
      <c r="C49" s="7" t="s">
        <v>179</v>
      </c>
      <c r="D49" s="7">
        <v>38</v>
      </c>
      <c r="E49" s="13">
        <v>9876501048</v>
      </c>
      <c r="F49" s="14" t="s">
        <v>289</v>
      </c>
      <c r="G49" s="7" t="s">
        <v>43</v>
      </c>
      <c r="H49" s="7" t="s">
        <v>185</v>
      </c>
    </row>
    <row r="50" spans="1:8">
      <c r="A50" s="7" t="s">
        <v>168</v>
      </c>
      <c r="B50" s="7" t="s">
        <v>290</v>
      </c>
      <c r="C50" s="7" t="s">
        <v>183</v>
      </c>
      <c r="D50" s="7">
        <v>31</v>
      </c>
      <c r="E50" s="13">
        <v>9876501049</v>
      </c>
      <c r="F50" s="14" t="s">
        <v>291</v>
      </c>
      <c r="G50" s="7" t="s">
        <v>52</v>
      </c>
      <c r="H50" s="7" t="s">
        <v>181</v>
      </c>
    </row>
    <row r="51" spans="1:8">
      <c r="A51" s="7" t="s">
        <v>170</v>
      </c>
      <c r="B51" s="7" t="s">
        <v>292</v>
      </c>
      <c r="C51" s="7" t="s">
        <v>179</v>
      </c>
      <c r="D51" s="7">
        <v>33</v>
      </c>
      <c r="E51" s="13">
        <v>9876501050</v>
      </c>
      <c r="F51" s="14" t="s">
        <v>293</v>
      </c>
      <c r="G51" s="7" t="s">
        <v>57</v>
      </c>
      <c r="H51" s="7" t="s">
        <v>185</v>
      </c>
    </row>
  </sheetData>
  <hyperlinks>
    <hyperlink ref="F2" r:id="rId1" display="mailto:rahul@gmail.com" xr:uid="{99B632CC-E2F4-4AE5-809C-1C46B22B53DB}"/>
    <hyperlink ref="F3" r:id="rId2" display="mailto:priya@gmail.com" xr:uid="{B5E08CE2-800A-44CE-A545-1A34D04DCF44}"/>
    <hyperlink ref="F4" r:id="rId3" display="mailto:amit@gmail.com" xr:uid="{ADA17147-2370-46D9-AA80-54AAAB68FDF5}"/>
    <hyperlink ref="F5" r:id="rId4" display="mailto:neha@gmail.com" xr:uid="{24C58DDC-C37D-40AE-9CB5-171C6A2B9670}"/>
    <hyperlink ref="F6" r:id="rId5" display="mailto:rohit@gmail.com" xr:uid="{509191C2-EF80-45C4-81D7-94AF0C91A990}"/>
    <hyperlink ref="F7" r:id="rId6" display="mailto:anjali@gmail.com" xr:uid="{6C72FA64-B031-407A-85F9-34B5B0C9B172}"/>
    <hyperlink ref="F8" r:id="rId7" display="mailto:karan@gmail.com" xr:uid="{61F40163-B57E-4A0F-940C-097194539053}"/>
    <hyperlink ref="F9" r:id="rId8" display="mailto:sneha@gmail.com" xr:uid="{B1759014-837F-44C1-96ED-2E83D1C0B04E}"/>
    <hyperlink ref="F10" r:id="rId9" display="mailto:arjun@gmail.com" xr:uid="{A1819E0C-0A2C-478C-837F-90A7642F7F24}"/>
    <hyperlink ref="F11" r:id="rId10" display="mailto:pooja@gmail.com" xr:uid="{48000860-1253-4241-B3C6-4895C9D83ED7}"/>
    <hyperlink ref="F12" r:id="rId11" display="mailto:riya@gmail.com" xr:uid="{9806F673-D491-4AB4-A5D8-D9D377FED19E}"/>
    <hyperlink ref="F13" r:id="rId12" display="mailto:vikash@gmail.com" xr:uid="{2277A6DD-4F9A-4097-846C-A8E3061CF488}"/>
    <hyperlink ref="F14" r:id="rId13" display="mailto:simran@gmail.com" xr:uid="{CDE422A7-BA44-40BF-8EB4-C59F9EFD426B}"/>
    <hyperlink ref="F15" r:id="rId14" display="mailto:mohit@gmail.com" xr:uid="{F02F73A2-D648-4E63-B81B-802ED315086E}"/>
    <hyperlink ref="F16" r:id="rId15" display="mailto:kavya@gmail.com" xr:uid="{9C77C058-BFE5-4969-8B7D-360B87E9A2AE}"/>
    <hyperlink ref="F17" r:id="rId16" display="mailto:aditya@gmail.com" xr:uid="{048810A8-7AEF-4453-AD0B-96735DBFA54E}"/>
    <hyperlink ref="F18" r:id="rId17" display="mailto:nisha@gmail.com" xr:uid="{5EA53F05-FEDB-44D4-8C69-740DA4461393}"/>
    <hyperlink ref="F19" r:id="rId18" display="mailto:rahul2@gmail.com" xr:uid="{4A8D0293-42A3-4F2F-8421-A3B182E12A28}"/>
    <hyperlink ref="F20" r:id="rId19" display="mailto:tanya@gmail.com" xr:uid="{4FB331E2-C41A-4A41-9C7C-779A1F38EA18}"/>
    <hyperlink ref="F21" r:id="rId20" display="mailto:manish@gmail.com" xr:uid="{B775F177-4B70-4165-9A3A-BF10505EF96E}"/>
    <hyperlink ref="F22" r:id="rId21" display="mailto:pankaj@gmail.com" xr:uid="{30D632BB-CF70-4A62-BE0B-3D6DCD2607D3}"/>
    <hyperlink ref="F23" r:id="rId22" display="mailto:ayesha@gmail.com" xr:uid="{FAAA6C85-99AA-46E0-996B-A9ABA7C2757C}"/>
    <hyperlink ref="F24" r:id="rId23" display="mailto:deepak@gmail.com" xr:uid="{21A09A8D-9FF7-4FC9-BBE9-18565C3B1D57}"/>
    <hyperlink ref="F25" r:id="rId24" display="mailto:meena@gmail.com" xr:uid="{B1824775-5A93-4870-A49A-24D00F06CDAE}"/>
    <hyperlink ref="F26" r:id="rId25" display="mailto:saurabh@gmail.com" xr:uid="{F08C86F7-99D1-4B0C-90D4-AB8D44541CD1}"/>
  </hyperlinks>
  <pageMargins left="0.7" right="0.7" top="0.75" bottom="0.75" header="0.3" footer="0.3"/>
  <tableParts count="1">
    <tablePart r:id="rId2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97E0-5130-402D-B702-BCECFC545E8F}">
  <dimension ref="A1:G11"/>
  <sheetViews>
    <sheetView workbookViewId="0">
      <selection activeCell="D11" sqref="D11"/>
    </sheetView>
  </sheetViews>
  <sheetFormatPr defaultRowHeight="14.4"/>
  <cols>
    <col min="1" max="1" width="12.33203125" customWidth="1"/>
    <col min="2" max="2" width="18.6640625" bestFit="1" customWidth="1"/>
    <col min="3" max="3" width="10.44140625" bestFit="1" customWidth="1"/>
    <col min="4" max="4" width="11.5546875" customWidth="1"/>
    <col min="5" max="5" width="16.21875" customWidth="1"/>
    <col min="6" max="6" width="11.109375" bestFit="1" customWidth="1"/>
    <col min="7" max="7" width="14.88671875" customWidth="1"/>
  </cols>
  <sheetData>
    <row r="1" spans="1:7">
      <c r="A1" s="10" t="s">
        <v>3</v>
      </c>
      <c r="B1" s="10" t="s">
        <v>4</v>
      </c>
      <c r="C1" s="10" t="s">
        <v>5</v>
      </c>
      <c r="D1" s="11" t="s">
        <v>7</v>
      </c>
      <c r="E1" s="11" t="s">
        <v>203</v>
      </c>
      <c r="F1" s="10" t="s">
        <v>204</v>
      </c>
      <c r="G1" s="11" t="s">
        <v>205</v>
      </c>
    </row>
    <row r="2" spans="1:7">
      <c r="A2" s="3" t="s">
        <v>21</v>
      </c>
      <c r="B2" s="3" t="s">
        <v>22</v>
      </c>
      <c r="C2" s="3" t="s">
        <v>15</v>
      </c>
      <c r="D2" s="4">
        <v>1200</v>
      </c>
      <c r="E2" s="4">
        <v>25</v>
      </c>
      <c r="F2" s="3" t="s">
        <v>206</v>
      </c>
      <c r="G2" s="4">
        <v>10</v>
      </c>
    </row>
    <row r="3" spans="1:7">
      <c r="A3" s="3" t="s">
        <v>31</v>
      </c>
      <c r="B3" s="3" t="s">
        <v>14</v>
      </c>
      <c r="C3" s="3" t="s">
        <v>32</v>
      </c>
      <c r="D3" s="4">
        <v>25</v>
      </c>
      <c r="E3" s="4">
        <v>80</v>
      </c>
      <c r="F3" s="3" t="s">
        <v>207</v>
      </c>
      <c r="G3" s="4">
        <v>20</v>
      </c>
    </row>
    <row r="4" spans="1:7">
      <c r="A4" s="3" t="s">
        <v>38</v>
      </c>
      <c r="B4" s="3" t="s">
        <v>39</v>
      </c>
      <c r="C4" s="3" t="s">
        <v>40</v>
      </c>
      <c r="D4" s="4">
        <v>150</v>
      </c>
      <c r="E4" s="4">
        <v>15</v>
      </c>
      <c r="F4" s="3" t="s">
        <v>208</v>
      </c>
      <c r="G4" s="4">
        <v>5</v>
      </c>
    </row>
    <row r="5" spans="1:7">
      <c r="A5" s="3" t="s">
        <v>48</v>
      </c>
      <c r="B5" s="3" t="s">
        <v>49</v>
      </c>
      <c r="C5" s="3" t="s">
        <v>15</v>
      </c>
      <c r="D5" s="4">
        <v>300</v>
      </c>
      <c r="E5" s="4">
        <v>30</v>
      </c>
      <c r="F5" s="3" t="s">
        <v>206</v>
      </c>
      <c r="G5" s="4">
        <v>10</v>
      </c>
    </row>
    <row r="6" spans="1:7">
      <c r="A6" s="3" t="s">
        <v>55</v>
      </c>
      <c r="B6" s="3" t="s">
        <v>56</v>
      </c>
      <c r="C6" s="3" t="s">
        <v>32</v>
      </c>
      <c r="D6" s="4">
        <v>85</v>
      </c>
      <c r="E6" s="4">
        <v>45</v>
      </c>
      <c r="F6" s="3" t="s">
        <v>207</v>
      </c>
      <c r="G6" s="4">
        <v>15</v>
      </c>
    </row>
    <row r="7" spans="1:7">
      <c r="A7" s="3" t="s">
        <v>62</v>
      </c>
      <c r="B7" s="3" t="s">
        <v>63</v>
      </c>
      <c r="C7" s="3" t="s">
        <v>40</v>
      </c>
      <c r="D7" s="4">
        <v>450</v>
      </c>
      <c r="E7" s="4">
        <v>12</v>
      </c>
      <c r="F7" s="3" t="s">
        <v>208</v>
      </c>
      <c r="G7" s="4">
        <v>5</v>
      </c>
    </row>
    <row r="8" spans="1:7">
      <c r="A8" s="3" t="s">
        <v>67</v>
      </c>
      <c r="B8" s="3" t="s">
        <v>68</v>
      </c>
      <c r="C8" s="3" t="s">
        <v>15</v>
      </c>
      <c r="D8" s="4">
        <v>800</v>
      </c>
      <c r="E8" s="4">
        <v>20</v>
      </c>
      <c r="F8" s="3" t="s">
        <v>209</v>
      </c>
      <c r="G8" s="4">
        <v>8</v>
      </c>
    </row>
    <row r="9" spans="1:7">
      <c r="A9" s="3" t="s">
        <v>73</v>
      </c>
      <c r="B9" s="3" t="s">
        <v>74</v>
      </c>
      <c r="C9" s="3" t="s">
        <v>32</v>
      </c>
      <c r="D9" s="4">
        <v>120</v>
      </c>
      <c r="E9" s="4">
        <v>60</v>
      </c>
      <c r="F9" s="3" t="s">
        <v>210</v>
      </c>
      <c r="G9" s="4">
        <v>15</v>
      </c>
    </row>
    <row r="10" spans="1:7">
      <c r="A10" s="3" t="s">
        <v>81</v>
      </c>
      <c r="B10" s="3" t="s">
        <v>82</v>
      </c>
      <c r="C10" s="3" t="s">
        <v>15</v>
      </c>
      <c r="D10" s="4">
        <v>400</v>
      </c>
      <c r="E10" s="4">
        <v>18</v>
      </c>
      <c r="F10" s="3" t="s">
        <v>209</v>
      </c>
      <c r="G10" s="4">
        <v>7</v>
      </c>
    </row>
    <row r="11" spans="1:7">
      <c r="A11" s="3" t="s">
        <v>86</v>
      </c>
      <c r="B11" s="3" t="s">
        <v>87</v>
      </c>
      <c r="C11" s="3" t="s">
        <v>40</v>
      </c>
      <c r="D11" s="4">
        <v>45</v>
      </c>
      <c r="E11" s="4">
        <v>50</v>
      </c>
      <c r="F11" s="3" t="s">
        <v>211</v>
      </c>
      <c r="G11" s="4">
        <v>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ACBF6-13D1-4DA7-8334-D524A77BA2F5}">
  <dimension ref="A1:K14"/>
  <sheetViews>
    <sheetView tabSelected="1" zoomScale="125" workbookViewId="0">
      <selection activeCell="E18" sqref="E18"/>
    </sheetView>
  </sheetViews>
  <sheetFormatPr defaultRowHeight="14.4"/>
  <cols>
    <col min="1" max="1" width="29.44140625" bestFit="1" customWidth="1"/>
    <col min="2" max="2" width="10.44140625" bestFit="1" customWidth="1"/>
    <col min="4" max="4" width="16.5546875" bestFit="1" customWidth="1"/>
    <col min="5" max="5" width="13.44140625" bestFit="1" customWidth="1"/>
    <col min="7" max="7" width="14.77734375" bestFit="1" customWidth="1"/>
    <col min="8" max="8" width="13.44140625" bestFit="1" customWidth="1"/>
    <col min="10" max="10" width="10.44140625" bestFit="1" customWidth="1"/>
    <col min="11" max="11" width="13.44140625" bestFit="1" customWidth="1"/>
  </cols>
  <sheetData>
    <row r="1" spans="1:11">
      <c r="A1" s="12" t="s">
        <v>294</v>
      </c>
      <c r="D1" s="12" t="s">
        <v>305</v>
      </c>
      <c r="E1" s="12" t="s">
        <v>306</v>
      </c>
      <c r="G1" s="12" t="s">
        <v>309</v>
      </c>
      <c r="H1" s="12" t="s">
        <v>306</v>
      </c>
      <c r="J1" s="12" t="s">
        <v>311</v>
      </c>
      <c r="K1" s="12" t="s">
        <v>306</v>
      </c>
    </row>
    <row r="2" spans="1:11">
      <c r="H2" s="3"/>
    </row>
    <row r="3" spans="1:11">
      <c r="A3" s="3" t="s">
        <v>295</v>
      </c>
      <c r="B3">
        <f>COUNTA(Orders_Data[Order_ID])</f>
        <v>50</v>
      </c>
      <c r="D3" s="3" t="s">
        <v>25</v>
      </c>
      <c r="E3" s="3">
        <f>COUNTIF(Orders_Data[Order_Status],D3)</f>
        <v>18</v>
      </c>
      <c r="G3" s="3" t="s">
        <v>27</v>
      </c>
      <c r="H3" s="3">
        <f>COUNTIF(Orders_Data[Sales_Channel],G3)</f>
        <v>24</v>
      </c>
      <c r="J3" s="3" t="s">
        <v>15</v>
      </c>
      <c r="K3" s="3">
        <f>COUNTIF(Orders_Data[Category],J3)</f>
        <v>20</v>
      </c>
    </row>
    <row r="4" spans="1:11">
      <c r="A4" s="3" t="s">
        <v>296</v>
      </c>
      <c r="B4" s="21">
        <f>SUM(Orders_Data[Total_Amount])</f>
        <v>30440</v>
      </c>
      <c r="D4" s="3" t="s">
        <v>51</v>
      </c>
      <c r="E4" s="3">
        <f>COUNTIF(Orders_Data[Order_Status],D4)</f>
        <v>14</v>
      </c>
      <c r="G4" s="3" t="s">
        <v>44</v>
      </c>
      <c r="H4" s="3">
        <f>COUNTIF(Orders_Data[Sales_Channel],G4)</f>
        <v>8</v>
      </c>
      <c r="J4" s="3" t="s">
        <v>32</v>
      </c>
      <c r="K4" s="3">
        <f>COUNTIF(Orders_Data[Category],J4)</f>
        <v>15</v>
      </c>
    </row>
    <row r="5" spans="1:11">
      <c r="A5" s="3" t="s">
        <v>297</v>
      </c>
      <c r="B5">
        <f>COUNTIF(Orders_Data[Order_Status],"Delivered")</f>
        <v>18</v>
      </c>
      <c r="D5" s="3" t="s">
        <v>42</v>
      </c>
      <c r="E5" s="3">
        <f>COUNTIF(Orders_Data[Order_Status],D5)</f>
        <v>14</v>
      </c>
      <c r="G5" s="3" t="s">
        <v>58</v>
      </c>
      <c r="H5" s="3">
        <f>COUNTIF(Orders_Data[Sales_Channel],G5)</f>
        <v>13</v>
      </c>
      <c r="J5" s="3" t="s">
        <v>40</v>
      </c>
      <c r="K5" s="3">
        <f>COUNTIF(Orders_Data[Category],J5)</f>
        <v>15</v>
      </c>
    </row>
    <row r="6" spans="1:11">
      <c r="A6" s="3" t="s">
        <v>298</v>
      </c>
      <c r="B6">
        <f>COUNTIF(Orders_Data[Order_Status],"Processing")</f>
        <v>14</v>
      </c>
      <c r="D6" s="3" t="s">
        <v>50</v>
      </c>
      <c r="E6" s="3">
        <f>COUNTIF(Orders_Data[Order_Status],D6)</f>
        <v>0</v>
      </c>
      <c r="G6" s="3" t="s">
        <v>96</v>
      </c>
      <c r="H6" s="3">
        <f>COUNTIF(Orders_Data[Sales_Channel],G6)</f>
        <v>5</v>
      </c>
    </row>
    <row r="7" spans="1:11">
      <c r="A7" s="3" t="s">
        <v>299</v>
      </c>
      <c r="B7">
        <f>COUNTIF(Orders_Data[Order_Status],"Shipped")</f>
        <v>14</v>
      </c>
      <c r="D7" s="3" t="s">
        <v>76</v>
      </c>
      <c r="E7" s="3">
        <f>COUNTIF(Orders_Data[Order_Status],D7)</f>
        <v>4</v>
      </c>
      <c r="J7" s="1"/>
      <c r="K7" s="1"/>
    </row>
    <row r="8" spans="1:11">
      <c r="A8" s="3" t="s">
        <v>300</v>
      </c>
      <c r="B8">
        <f>COUNTIF(Orders_Data[Order_Status],"Pending")</f>
        <v>0</v>
      </c>
      <c r="G8" s="16" t="s">
        <v>309</v>
      </c>
      <c r="H8" s="16" t="s">
        <v>310</v>
      </c>
      <c r="J8" s="16" t="s">
        <v>311</v>
      </c>
      <c r="K8" s="16" t="s">
        <v>310</v>
      </c>
    </row>
    <row r="9" spans="1:11">
      <c r="A9" s="3" t="s">
        <v>301</v>
      </c>
      <c r="B9">
        <f>COUNTIF(Orders_Data[Order_Status],"Cancelled")</f>
        <v>4</v>
      </c>
      <c r="G9" s="2" t="s">
        <v>27</v>
      </c>
      <c r="H9" s="2">
        <f>SUMIF(Orders_Data[Sales_Channel],G9,Orders_Data[Total_Amount])</f>
        <v>11370</v>
      </c>
      <c r="J9" s="2" t="s">
        <v>15</v>
      </c>
      <c r="K9" s="2">
        <f>SUMIFS(Orders_Data[Total_Amount],Orders_Data[Category],J9)</f>
        <v>23300</v>
      </c>
    </row>
    <row r="10" spans="1:11">
      <c r="A10" s="3" t="s">
        <v>302</v>
      </c>
      <c r="B10">
        <f>COUNTIF(Orders_Data[Payment_Stat],"Pending")</f>
        <v>6</v>
      </c>
      <c r="D10" s="12" t="s">
        <v>307</v>
      </c>
      <c r="E10" s="12" t="s">
        <v>306</v>
      </c>
      <c r="G10" s="2" t="s">
        <v>44</v>
      </c>
      <c r="H10" s="2">
        <f>SUMIF(Orders_Data[Sales_Channel],G10,Orders_Data[Total_Amount])</f>
        <v>4185</v>
      </c>
      <c r="J10" s="2" t="s">
        <v>32</v>
      </c>
      <c r="K10" s="2">
        <f>SUMIFS(Orders_Data[Total_Amount],Orders_Data[Category],J10)</f>
        <v>1695</v>
      </c>
    </row>
    <row r="11" spans="1:11">
      <c r="A11" s="3" t="s">
        <v>303</v>
      </c>
      <c r="B11">
        <f>COUNTIF(Orders_Data[Payment_Stat],"Failed")</f>
        <v>4</v>
      </c>
      <c r="D11" s="3" t="s">
        <v>24</v>
      </c>
      <c r="E11" s="3">
        <f>COUNTIF(Orders_Data[Payment_Stat],D11)</f>
        <v>40</v>
      </c>
      <c r="G11" s="2" t="s">
        <v>58</v>
      </c>
      <c r="H11" s="2">
        <f>SUMIF(Orders_Data[Sales_Channel],G11,Orders_Data[Total_Amount])</f>
        <v>3635</v>
      </c>
      <c r="J11" s="2" t="s">
        <v>40</v>
      </c>
      <c r="K11" s="2">
        <f>SUMIFS(Orders_Data[Total_Amount],Orders_Data[Category],J11)</f>
        <v>5445</v>
      </c>
    </row>
    <row r="12" spans="1:11">
      <c r="A12" s="3" t="s">
        <v>304</v>
      </c>
      <c r="B12">
        <f>AVERAGE(Orders_Data[Total_Amount])</f>
        <v>608.79999999999995</v>
      </c>
      <c r="D12" s="3" t="s">
        <v>50</v>
      </c>
      <c r="E12" s="3">
        <f>COUNTIF(Orders_Data[Payment_Stat],D12)</f>
        <v>6</v>
      </c>
      <c r="G12" s="2" t="s">
        <v>96</v>
      </c>
      <c r="H12" s="2">
        <f>SUMIF(Orders_Data[Sales_Channel],G12,Orders_Data[Total_Amount])</f>
        <v>11250</v>
      </c>
    </row>
    <row r="13" spans="1:11">
      <c r="D13" s="3" t="s">
        <v>75</v>
      </c>
      <c r="E13" s="3">
        <f>COUNTIF(Orders_Data[Payment_Stat],D13)</f>
        <v>4</v>
      </c>
    </row>
    <row r="14" spans="1:11">
      <c r="D14" s="3" t="s">
        <v>308</v>
      </c>
      <c r="E14" s="3">
        <f>COUNTIF(Orders_Data[Payment_Stat],D14)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42C4C-53DB-4104-BDC6-357247503DCA}">
  <dimension ref="A1:N57"/>
  <sheetViews>
    <sheetView showGridLines="0" zoomScale="64" zoomScaleNormal="66" workbookViewId="0">
      <selection activeCell="O23" sqref="O23"/>
    </sheetView>
  </sheetViews>
  <sheetFormatPr defaultRowHeight="14.4"/>
  <cols>
    <col min="1" max="1" width="23.5546875" style="7" bestFit="1" customWidth="1"/>
    <col min="2" max="2" width="12.88671875" style="7" customWidth="1"/>
    <col min="3" max="3" width="21.109375" style="7" bestFit="1" customWidth="1"/>
    <col min="4" max="4" width="13.33203125" style="7" bestFit="1" customWidth="1"/>
    <col min="5" max="5" width="17.44140625" style="7" bestFit="1" customWidth="1"/>
    <col min="6" max="6" width="11" style="7" bestFit="1" customWidth="1"/>
    <col min="7" max="7" width="19.88671875" style="7" bestFit="1" customWidth="1"/>
    <col min="8" max="8" width="11.88671875" style="7" bestFit="1" customWidth="1"/>
    <col min="9" max="9" width="13.6640625" style="7" bestFit="1" customWidth="1"/>
    <col min="10" max="10" width="13.109375" style="7" bestFit="1" customWidth="1"/>
    <col min="11" max="11" width="22.88671875" style="7" customWidth="1"/>
    <col min="12" max="12" width="11.6640625" style="7" bestFit="1" customWidth="1"/>
    <col min="13" max="14" width="12.33203125" style="7" bestFit="1" customWidth="1"/>
    <col min="15" max="15" width="13.21875" style="7" bestFit="1" customWidth="1"/>
    <col min="16" max="16" width="12.88671875" style="7" bestFit="1" customWidth="1"/>
    <col min="17" max="16384" width="8.88671875" style="7"/>
  </cols>
  <sheetData>
    <row r="1" spans="1:11" ht="22.8" customHeight="1">
      <c r="A1" s="29" t="s">
        <v>320</v>
      </c>
      <c r="B1" s="30"/>
      <c r="C1" s="30"/>
      <c r="D1" s="30"/>
      <c r="E1" s="30"/>
      <c r="F1" s="30"/>
      <c r="G1" s="30"/>
      <c r="H1" s="30"/>
      <c r="I1" s="30"/>
      <c r="J1" s="30"/>
      <c r="K1" s="31"/>
    </row>
    <row r="2" spans="1:11">
      <c r="A2" s="32"/>
      <c r="B2" s="33"/>
      <c r="C2" s="33"/>
      <c r="D2" s="33"/>
      <c r="E2" s="33"/>
      <c r="F2" s="33"/>
      <c r="G2" s="33"/>
      <c r="H2" s="33"/>
      <c r="I2" s="33"/>
      <c r="J2" s="33"/>
      <c r="K2" s="34"/>
    </row>
    <row r="3" spans="1:11" ht="23.4">
      <c r="A3" s="40" t="s">
        <v>312</v>
      </c>
      <c r="B3" s="38"/>
      <c r="C3" s="38" t="s">
        <v>310</v>
      </c>
      <c r="D3" s="38"/>
      <c r="E3" s="38" t="s">
        <v>313</v>
      </c>
      <c r="F3" s="38"/>
      <c r="G3" s="35" t="s">
        <v>314</v>
      </c>
      <c r="H3" s="35"/>
      <c r="I3" s="35" t="s">
        <v>315</v>
      </c>
      <c r="J3" s="35"/>
      <c r="K3" s="41" t="s">
        <v>316</v>
      </c>
    </row>
    <row r="4" spans="1:11" ht="24" customHeight="1">
      <c r="A4" s="42">
        <f>MIS_Report!B3</f>
        <v>50</v>
      </c>
      <c r="B4" s="37"/>
      <c r="C4" s="39">
        <f>MIS_Report!B4</f>
        <v>30440</v>
      </c>
      <c r="D4" s="39"/>
      <c r="E4" s="37">
        <f>MIS_Report!B5</f>
        <v>18</v>
      </c>
      <c r="F4" s="37"/>
      <c r="G4" s="36">
        <f>MIS_Report!B6</f>
        <v>14</v>
      </c>
      <c r="H4" s="36"/>
      <c r="I4" s="36">
        <f>MIS_Report!B7</f>
        <v>14</v>
      </c>
      <c r="J4" s="36"/>
      <c r="K4" s="43">
        <f>MIS_Report!B9</f>
        <v>4</v>
      </c>
    </row>
    <row r="5" spans="1:11">
      <c r="A5" s="22"/>
      <c r="B5" s="44"/>
      <c r="C5" s="45"/>
      <c r="D5" s="45"/>
      <c r="E5" s="45"/>
      <c r="F5" s="45"/>
      <c r="G5" s="45"/>
      <c r="H5" s="45"/>
      <c r="I5" s="45"/>
      <c r="J5" s="45"/>
      <c r="K5" s="23"/>
    </row>
    <row r="6" spans="1:11">
      <c r="A6" s="24"/>
      <c r="B6" s="45"/>
      <c r="C6" s="45"/>
      <c r="D6" s="45"/>
      <c r="E6" s="45"/>
      <c r="F6" s="45"/>
      <c r="G6" s="45"/>
      <c r="H6" s="45"/>
      <c r="I6" s="45"/>
      <c r="J6" s="45"/>
      <c r="K6" s="23"/>
    </row>
    <row r="7" spans="1:11">
      <c r="A7" s="24"/>
      <c r="B7" s="45"/>
      <c r="C7" s="45"/>
      <c r="D7" s="45"/>
      <c r="E7" s="45"/>
      <c r="F7" s="45"/>
      <c r="G7" s="45"/>
      <c r="H7" s="45"/>
      <c r="I7" s="45"/>
      <c r="J7" s="45"/>
      <c r="K7" s="23"/>
    </row>
    <row r="8" spans="1:11">
      <c r="A8" s="25"/>
      <c r="B8" s="45"/>
      <c r="C8" s="45"/>
      <c r="D8" s="45"/>
      <c r="E8" s="45"/>
      <c r="F8" s="45"/>
      <c r="G8" s="45"/>
      <c r="H8" s="45"/>
      <c r="I8" s="45"/>
      <c r="J8" s="45"/>
      <c r="K8" s="23"/>
    </row>
    <row r="9" spans="1:11">
      <c r="A9" s="25"/>
      <c r="B9" s="45"/>
      <c r="C9" s="45"/>
      <c r="D9" s="45"/>
      <c r="E9" s="45"/>
      <c r="F9" s="45"/>
      <c r="G9" s="45"/>
      <c r="H9" s="45"/>
      <c r="I9" s="45"/>
      <c r="J9" s="45"/>
      <c r="K9" s="23"/>
    </row>
    <row r="10" spans="1:11">
      <c r="A10" s="25"/>
      <c r="B10" s="45"/>
      <c r="C10" s="45"/>
      <c r="D10" s="45"/>
      <c r="E10" s="45"/>
      <c r="F10" s="45"/>
      <c r="G10" s="45"/>
      <c r="H10" s="45"/>
      <c r="I10" s="45"/>
      <c r="J10" s="45"/>
      <c r="K10" s="23"/>
    </row>
    <row r="11" spans="1:11">
      <c r="A11" s="25"/>
      <c r="B11" s="45"/>
      <c r="C11" s="45"/>
      <c r="D11" s="45"/>
      <c r="E11" s="45"/>
      <c r="F11" s="45"/>
      <c r="G11" s="45"/>
      <c r="H11" s="45"/>
      <c r="I11" s="45"/>
      <c r="J11" s="45"/>
      <c r="K11" s="23"/>
    </row>
    <row r="12" spans="1:11">
      <c r="A12" s="25"/>
      <c r="B12" s="45"/>
      <c r="C12" s="45"/>
      <c r="D12" s="45"/>
      <c r="E12" s="45"/>
      <c r="F12" s="45"/>
      <c r="G12" s="45"/>
      <c r="H12" s="45"/>
      <c r="I12" s="45"/>
      <c r="J12" s="45"/>
      <c r="K12" s="23"/>
    </row>
    <row r="13" spans="1:11">
      <c r="A13" s="25"/>
      <c r="B13" s="45"/>
      <c r="C13" s="45"/>
      <c r="D13" s="45"/>
      <c r="E13" s="45"/>
      <c r="F13" s="45"/>
      <c r="G13" s="45"/>
      <c r="H13" s="45"/>
      <c r="I13" s="45"/>
      <c r="J13" s="45"/>
      <c r="K13" s="23"/>
    </row>
    <row r="14" spans="1:11">
      <c r="A14" s="25"/>
      <c r="B14" s="45"/>
      <c r="C14" s="45"/>
      <c r="D14" s="45"/>
      <c r="E14" s="45"/>
      <c r="F14" s="45"/>
      <c r="G14" s="45"/>
      <c r="H14" s="45"/>
      <c r="I14" s="45"/>
      <c r="J14" s="45"/>
      <c r="K14" s="23"/>
    </row>
    <row r="15" spans="1:11">
      <c r="A15" s="25"/>
      <c r="B15" s="45"/>
      <c r="C15" s="45"/>
      <c r="D15" s="45"/>
      <c r="E15" s="45"/>
      <c r="F15" s="45"/>
      <c r="G15" s="45"/>
      <c r="H15" s="45"/>
      <c r="I15" s="45"/>
      <c r="J15" s="45"/>
      <c r="K15" s="23"/>
    </row>
    <row r="16" spans="1:11">
      <c r="A16" s="25"/>
      <c r="B16" s="45"/>
      <c r="C16" s="45"/>
      <c r="D16" s="45"/>
      <c r="E16" s="45"/>
      <c r="F16" s="45"/>
      <c r="G16" s="45"/>
      <c r="H16" s="45"/>
      <c r="I16" s="45"/>
      <c r="J16" s="45"/>
      <c r="K16" s="23"/>
    </row>
    <row r="17" spans="1:14">
      <c r="A17" s="25"/>
      <c r="B17" s="45"/>
      <c r="C17" s="45"/>
      <c r="D17" s="45"/>
      <c r="E17" s="45"/>
      <c r="F17" s="45"/>
      <c r="G17" s="45"/>
      <c r="H17" s="45"/>
      <c r="I17" s="45"/>
      <c r="J17" s="45"/>
      <c r="K17" s="23"/>
    </row>
    <row r="18" spans="1:14">
      <c r="A18" s="25"/>
      <c r="B18" s="45"/>
      <c r="C18" s="45"/>
      <c r="D18" s="45"/>
      <c r="E18" s="45"/>
      <c r="F18" s="45"/>
      <c r="G18" s="45"/>
      <c r="H18" s="45"/>
      <c r="I18" s="45"/>
      <c r="J18" s="45"/>
      <c r="K18" s="23"/>
      <c r="N18" s="7" t="s">
        <v>321</v>
      </c>
    </row>
    <row r="19" spans="1:14">
      <c r="A19" s="25"/>
      <c r="B19" s="45"/>
      <c r="C19" s="45"/>
      <c r="D19" s="45"/>
      <c r="E19" s="45"/>
      <c r="F19" s="45"/>
      <c r="G19" s="45"/>
      <c r="H19" s="45"/>
      <c r="I19" s="45"/>
      <c r="J19" s="45"/>
      <c r="K19" s="23"/>
    </row>
    <row r="20" spans="1:14">
      <c r="A20" s="25"/>
      <c r="B20" s="45"/>
      <c r="C20" s="45"/>
      <c r="D20" s="45"/>
      <c r="E20" s="45"/>
      <c r="F20" s="45"/>
      <c r="G20" s="45"/>
      <c r="H20" s="45"/>
      <c r="I20" s="45"/>
      <c r="J20" s="45"/>
      <c r="K20" s="23"/>
    </row>
    <row r="21" spans="1:14">
      <c r="A21" s="25"/>
      <c r="B21" s="45"/>
      <c r="C21" s="45"/>
      <c r="D21" s="45"/>
      <c r="E21" s="45"/>
      <c r="F21" s="45"/>
      <c r="G21" s="45"/>
      <c r="H21" s="45"/>
      <c r="I21" s="45"/>
      <c r="J21" s="45"/>
      <c r="K21" s="23"/>
    </row>
    <row r="22" spans="1:14">
      <c r="A22" s="25"/>
      <c r="B22" s="45"/>
      <c r="C22" s="45"/>
      <c r="D22" s="45"/>
      <c r="E22" s="45"/>
      <c r="F22" s="45"/>
      <c r="G22" s="45"/>
      <c r="H22" s="45"/>
      <c r="I22" s="45"/>
      <c r="J22" s="45"/>
      <c r="K22" s="23"/>
    </row>
    <row r="23" spans="1:14">
      <c r="A23" s="25"/>
      <c r="B23" s="45"/>
      <c r="C23" s="45"/>
      <c r="D23" s="45"/>
      <c r="E23" s="45"/>
      <c r="F23" s="45"/>
      <c r="G23" s="45"/>
      <c r="H23" s="45"/>
      <c r="I23" s="45"/>
      <c r="J23" s="45"/>
      <c r="K23" s="23"/>
    </row>
    <row r="24" spans="1:14">
      <c r="A24" s="25"/>
      <c r="B24" s="45"/>
      <c r="C24" s="45"/>
      <c r="D24" s="45"/>
      <c r="E24" s="45"/>
      <c r="F24" s="45"/>
      <c r="G24" s="45"/>
      <c r="H24" s="45"/>
      <c r="I24" s="45"/>
      <c r="J24" s="45"/>
      <c r="K24" s="23"/>
    </row>
    <row r="25" spans="1:14">
      <c r="A25" s="25"/>
      <c r="B25" s="45"/>
      <c r="C25" s="45"/>
      <c r="D25" s="45"/>
      <c r="E25" s="45"/>
      <c r="F25" s="45"/>
      <c r="G25" s="45"/>
      <c r="H25" s="45"/>
      <c r="I25" s="45"/>
      <c r="J25" s="45"/>
      <c r="K25" s="23"/>
    </row>
    <row r="26" spans="1:14">
      <c r="A26" s="25"/>
      <c r="B26" s="45"/>
      <c r="C26" s="45"/>
      <c r="D26" s="45"/>
      <c r="E26" s="45"/>
      <c r="F26" s="45"/>
      <c r="G26" s="45"/>
      <c r="H26" s="45"/>
      <c r="I26" s="45"/>
      <c r="J26" s="45"/>
      <c r="K26" s="23"/>
    </row>
    <row r="27" spans="1:14">
      <c r="A27" s="25"/>
      <c r="B27" s="45"/>
      <c r="C27" s="45"/>
      <c r="D27" s="45"/>
      <c r="E27" s="45"/>
      <c r="F27" s="45"/>
      <c r="G27" s="45"/>
      <c r="H27" s="45"/>
      <c r="I27" s="45"/>
      <c r="J27" s="45"/>
      <c r="K27" s="23"/>
    </row>
    <row r="28" spans="1:14">
      <c r="A28" s="25"/>
      <c r="B28" s="45"/>
      <c r="C28" s="45"/>
      <c r="D28" s="45"/>
      <c r="E28" s="45"/>
      <c r="F28" s="45"/>
      <c r="G28" s="45"/>
      <c r="H28" s="45"/>
      <c r="I28" s="45"/>
      <c r="J28" s="45"/>
      <c r="K28" s="23"/>
    </row>
    <row r="29" spans="1:14">
      <c r="A29" s="25"/>
      <c r="B29" s="45"/>
      <c r="C29" s="45"/>
      <c r="D29" s="45"/>
      <c r="E29" s="45"/>
      <c r="F29" s="45"/>
      <c r="G29" s="45"/>
      <c r="H29" s="45"/>
      <c r="I29" s="45"/>
      <c r="J29" s="45"/>
      <c r="K29" s="23"/>
    </row>
    <row r="30" spans="1:14">
      <c r="A30" s="25"/>
      <c r="B30" s="45"/>
      <c r="C30" s="45"/>
      <c r="D30" s="45"/>
      <c r="E30" s="45"/>
      <c r="F30" s="45"/>
      <c r="G30" s="45"/>
      <c r="H30" s="45"/>
      <c r="I30" s="45"/>
      <c r="J30" s="45"/>
      <c r="K30" s="23"/>
    </row>
    <row r="31" spans="1:14">
      <c r="A31" s="25"/>
      <c r="B31" s="45"/>
      <c r="C31" s="45"/>
      <c r="D31" s="45"/>
      <c r="E31" s="45"/>
      <c r="F31" s="45"/>
      <c r="G31" s="45"/>
      <c r="H31" s="45"/>
      <c r="I31" s="45"/>
      <c r="J31" s="45"/>
      <c r="K31" s="23"/>
    </row>
    <row r="32" spans="1:14">
      <c r="A32" s="25"/>
      <c r="B32" s="45"/>
      <c r="C32" s="45"/>
      <c r="D32" s="45"/>
      <c r="E32" s="45"/>
      <c r="F32" s="45"/>
      <c r="G32" s="45"/>
      <c r="H32" s="45"/>
      <c r="I32" s="45"/>
      <c r="J32" s="45"/>
      <c r="K32" s="23"/>
    </row>
    <row r="33" spans="1:11">
      <c r="A33" s="25"/>
      <c r="B33" s="45"/>
      <c r="C33" s="45"/>
      <c r="D33" s="45"/>
      <c r="E33" s="45"/>
      <c r="F33" s="45"/>
      <c r="G33" s="45"/>
      <c r="H33" s="45"/>
      <c r="I33" s="45"/>
      <c r="J33" s="45"/>
      <c r="K33" s="23"/>
    </row>
    <row r="34" spans="1:11">
      <c r="A34" s="25"/>
      <c r="B34" s="45"/>
      <c r="C34" s="45"/>
      <c r="D34" s="45"/>
      <c r="E34" s="45"/>
      <c r="F34" s="45"/>
      <c r="G34" s="45"/>
      <c r="H34" s="45"/>
      <c r="I34" s="45"/>
      <c r="J34" s="45"/>
      <c r="K34" s="23"/>
    </row>
    <row r="35" spans="1:11">
      <c r="A35" s="22"/>
      <c r="B35" s="46"/>
      <c r="C35" s="45"/>
      <c r="D35" s="45"/>
      <c r="E35" s="45"/>
      <c r="F35" s="45"/>
      <c r="G35" s="45"/>
      <c r="H35" s="45"/>
      <c r="I35" s="45"/>
      <c r="J35" s="44"/>
      <c r="K35" s="26"/>
    </row>
    <row r="36" spans="1:11" ht="15" thickBot="1">
      <c r="A36" s="27"/>
      <c r="B36" s="18"/>
      <c r="C36" s="18"/>
      <c r="D36" s="18"/>
      <c r="E36" s="18"/>
      <c r="F36" s="18"/>
      <c r="G36" s="18"/>
      <c r="H36" s="18"/>
      <c r="I36" s="18"/>
      <c r="J36" s="18"/>
      <c r="K36" s="28"/>
    </row>
    <row r="51" spans="1:11">
      <c r="G51" s="1"/>
      <c r="H51" s="9"/>
    </row>
    <row r="52" spans="1:11">
      <c r="A52" s="2" t="s">
        <v>319</v>
      </c>
      <c r="B52" s="5" t="s">
        <v>318</v>
      </c>
      <c r="D52" s="3" t="s">
        <v>317</v>
      </c>
      <c r="E52" s="4" t="s">
        <v>318</v>
      </c>
      <c r="G52" s="3" t="s">
        <v>319</v>
      </c>
      <c r="H52" s="4" t="s">
        <v>296</v>
      </c>
      <c r="J52" s="2" t="s">
        <v>5</v>
      </c>
      <c r="K52" s="5" t="s">
        <v>296</v>
      </c>
    </row>
    <row r="53" spans="1:11">
      <c r="A53" s="2" t="s">
        <v>27</v>
      </c>
      <c r="B53" s="5">
        <f>MIS_Report!H3</f>
        <v>24</v>
      </c>
      <c r="D53" s="3" t="s">
        <v>25</v>
      </c>
      <c r="E53" s="4">
        <f>MIS_Report!E3</f>
        <v>18</v>
      </c>
      <c r="G53" s="2" t="s">
        <v>27</v>
      </c>
      <c r="H53" s="5">
        <f>MIS_Report!H9</f>
        <v>11370</v>
      </c>
      <c r="J53" s="2" t="s">
        <v>15</v>
      </c>
      <c r="K53" s="5">
        <f>MIS_Report!K9</f>
        <v>23300</v>
      </c>
    </row>
    <row r="54" spans="1:11">
      <c r="A54" s="2" t="s">
        <v>44</v>
      </c>
      <c r="B54" s="5">
        <f>MIS_Report!H4</f>
        <v>8</v>
      </c>
      <c r="D54" s="3" t="s">
        <v>51</v>
      </c>
      <c r="E54" s="4">
        <f>MIS_Report!E4</f>
        <v>14</v>
      </c>
      <c r="G54" s="2" t="s">
        <v>44</v>
      </c>
      <c r="H54" s="5">
        <f>MIS_Report!H10</f>
        <v>4185</v>
      </c>
      <c r="J54" s="2" t="s">
        <v>32</v>
      </c>
      <c r="K54" s="5">
        <f>MIS_Report!K10</f>
        <v>1695</v>
      </c>
    </row>
    <row r="55" spans="1:11">
      <c r="A55" s="2" t="s">
        <v>58</v>
      </c>
      <c r="B55" s="5">
        <f>MIS_Report!H5</f>
        <v>13</v>
      </c>
      <c r="D55" s="3" t="s">
        <v>42</v>
      </c>
      <c r="E55" s="4">
        <f>MIS_Report!E5</f>
        <v>14</v>
      </c>
      <c r="G55" s="2" t="s">
        <v>58</v>
      </c>
      <c r="H55" s="5">
        <f>MIS_Report!H11</f>
        <v>3635</v>
      </c>
      <c r="J55" s="2" t="s">
        <v>40</v>
      </c>
      <c r="K55" s="5">
        <f>MIS_Report!K11</f>
        <v>5445</v>
      </c>
    </row>
    <row r="56" spans="1:11">
      <c r="A56" s="2" t="s">
        <v>96</v>
      </c>
      <c r="B56" s="5">
        <f>MIS_Report!H6</f>
        <v>5</v>
      </c>
      <c r="D56" s="3" t="s">
        <v>50</v>
      </c>
      <c r="E56" s="4">
        <f>MIS_Report!E6</f>
        <v>0</v>
      </c>
      <c r="G56" s="2" t="s">
        <v>96</v>
      </c>
      <c r="H56" s="5">
        <f>MIS_Report!H12</f>
        <v>11250</v>
      </c>
    </row>
    <row r="57" spans="1:11">
      <c r="D57" s="3" t="s">
        <v>76</v>
      </c>
      <c r="E57" s="4">
        <f>MIS_Report!E7</f>
        <v>4</v>
      </c>
    </row>
  </sheetData>
  <mergeCells count="11">
    <mergeCell ref="I3:J3"/>
    <mergeCell ref="I4:J4"/>
    <mergeCell ref="A1:K2"/>
    <mergeCell ref="A3:B3"/>
    <mergeCell ref="A4:B4"/>
    <mergeCell ref="C3:D3"/>
    <mergeCell ref="C4:D4"/>
    <mergeCell ref="E3:F3"/>
    <mergeCell ref="E4:F4"/>
    <mergeCell ref="G3:H3"/>
    <mergeCell ref="G4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Orders_Data</vt:lpstr>
      <vt:lpstr>Customer_Master</vt:lpstr>
      <vt:lpstr>Product_Master</vt:lpstr>
      <vt:lpstr>MIS_Report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Gole</dc:creator>
  <cp:lastModifiedBy>Aman Gole</cp:lastModifiedBy>
  <dcterms:created xsi:type="dcterms:W3CDTF">2026-08-20T07:56:52Z</dcterms:created>
  <dcterms:modified xsi:type="dcterms:W3CDTF">2026-08-20T17:10:01Z</dcterms:modified>
</cp:coreProperties>
</file>